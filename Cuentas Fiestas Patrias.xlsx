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Consumo por Integrante" sheetId="2" state="visible" r:id="rId2"/>
    <sheet name="División de Cu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E3A8A"/>
      <sz val="11"/>
    </font>
    <font>
      <name val="Calibri"/>
      <b val="1"/>
      <color rgb="00047857"/>
      <sz val="11"/>
    </font>
    <font>
      <name val="Calibri"/>
      <b val="1"/>
      <color rgb="00166534"/>
      <sz val="11"/>
    </font>
    <font>
      <name val="Calibri"/>
      <b val="1"/>
      <color rgb="002563EB"/>
      <sz val="11"/>
    </font>
    <font>
      <name val="Calibri"/>
      <b val="1"/>
      <color rgb="00DC2626"/>
      <sz val="11"/>
    </font>
    <font>
      <name val="Calibri"/>
      <b val="1"/>
      <color rgb="006B7280"/>
      <sz val="11"/>
    </font>
    <font>
      <name val="Calibri"/>
      <color rgb="00991B1B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1" pivotButton="0" quotePrefix="0" xfId="0"/>
    <xf numFmtId="164" fontId="1" fillId="0" borderId="1" pivotButton="0" quotePrefix="0" xfId="0"/>
    <xf numFmtId="164" fontId="1" fillId="3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4" fillId="0" borderId="1" pivotButton="0" quotePrefix="0" xfId="0"/>
    <xf numFmtId="164" fontId="5" fillId="0" borderId="1" pivotButton="0" quotePrefix="0" xfId="0"/>
    <xf numFmtId="0" fontId="3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4" fontId="7" fillId="0" borderId="1" pivotButton="0" quotePrefix="0" xfId="0"/>
    <xf numFmtId="164" fontId="8" fillId="0" borderId="1" pivotButton="0" quotePrefix="0" xfId="0"/>
    <xf numFmtId="164" fontId="9" fillId="0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9" customWidth="1" min="11" max="11"/>
    <col width="18" customWidth="1" min="12" max="12"/>
    <col width="20" customWidth="1" min="13" max="13"/>
    <col width="15" customWidth="1" min="14" max="14"/>
    <col width="21" customWidth="1" min="15" max="15"/>
    <col width="21" customWidth="1" min="16" max="16"/>
    <col width="15" customWidth="1" min="17" max="17"/>
    <col width="16" customWidth="1" min="18" max="18"/>
    <col width="15" customWidth="1" min="19" max="19"/>
    <col width="15" customWidth="1" min="20" max="20"/>
    <col width="16" customWidth="1" min="21" max="21"/>
  </cols>
  <sheetData>
    <row r="1">
      <c r="A1" s="1" t="inlineStr">
        <is>
          <t>Total primera compra (Ignacio)</t>
        </is>
      </c>
      <c r="B1" s="2" t="n">
        <v>122251</v>
      </c>
    </row>
    <row r="2">
      <c r="A2" s="1" t="inlineStr">
        <is>
          <t>Total segunda compra (Ignacio)</t>
        </is>
      </c>
      <c r="B2" s="2" t="n">
        <v>61141</v>
      </c>
    </row>
    <row r="3">
      <c r="A3" s="1" t="inlineStr">
        <is>
          <t>Total tercera compra (Mindy)</t>
        </is>
      </c>
      <c r="B3" s="2" t="n">
        <v>11790</v>
      </c>
    </row>
    <row r="4">
      <c r="A4" s="1" t="inlineStr">
        <is>
          <t>Total cuarta compra (Joaquín - Pan choripán)</t>
        </is>
      </c>
      <c r="B4" s="2" t="n">
        <v>5570</v>
      </c>
    </row>
    <row r="5">
      <c r="A5" s="1" t="inlineStr">
        <is>
          <t>Total quinta compra (Joaquín - Empanadas)</t>
        </is>
      </c>
      <c r="B5" s="2" t="n">
        <v>46250</v>
      </c>
    </row>
    <row r="6"/>
    <row r="7">
      <c r="A7" s="3" t="inlineStr">
        <is>
          <t>Detalle</t>
        </is>
      </c>
      <c r="B7" s="3" t="inlineStr">
        <is>
          <t>Chorizo</t>
        </is>
      </c>
      <c r="C7" s="3" t="inlineStr">
        <is>
          <t>Lomo Liso</t>
        </is>
      </c>
      <c r="D7" s="3" t="inlineStr">
        <is>
          <t>Lomo vetado</t>
        </is>
      </c>
      <c r="E7" s="3" t="inlineStr">
        <is>
          <t>Costillar Chileno</t>
        </is>
      </c>
      <c r="F7" s="3" t="inlineStr">
        <is>
          <t>Costillar cerdo</t>
        </is>
      </c>
      <c r="G7" s="3" t="inlineStr">
        <is>
          <t>Trutro</t>
        </is>
      </c>
      <c r="H7" s="3" t="inlineStr">
        <is>
          <t>Pechuga</t>
        </is>
      </c>
      <c r="I7" s="3" t="inlineStr">
        <is>
          <t>Carbón</t>
        </is>
      </c>
      <c r="J7" s="3" t="inlineStr">
        <is>
          <t>Pan Choripán</t>
        </is>
      </c>
      <c r="K7" s="3" t="inlineStr">
        <is>
          <t>Trigo Mote (1kg)</t>
        </is>
      </c>
      <c r="L7" s="3" t="inlineStr">
        <is>
          <t>Huesillos (1kg)</t>
        </is>
      </c>
      <c r="M7" s="3" t="inlineStr">
        <is>
          <t>Chancaca y Azúcar</t>
        </is>
      </c>
      <c r="N7" s="3" t="inlineStr">
        <is>
          <t>Restante</t>
        </is>
      </c>
      <c r="O7" s="3" t="inlineStr">
        <is>
          <t>Pino (1a Empanada)</t>
        </is>
      </c>
      <c r="P7" s="3" t="inlineStr">
        <is>
          <t>Pino (2a Empanada)</t>
        </is>
      </c>
      <c r="Q7" s="3" t="inlineStr">
        <is>
          <t>Mechada</t>
        </is>
      </c>
      <c r="R7" s="3" t="inlineStr">
        <is>
          <t>Camarón Queso</t>
        </is>
      </c>
      <c r="S7" s="3" t="inlineStr">
        <is>
          <t>Queso</t>
        </is>
      </c>
      <c r="T7" s="3" t="inlineStr">
        <is>
          <t>Napolitana</t>
        </is>
      </c>
      <c r="U7" s="3" t="inlineStr">
        <is>
          <t>Total Fila</t>
        </is>
      </c>
    </row>
    <row r="8">
      <c r="A8" s="1" t="inlineStr">
        <is>
          <t>Primera compra (Ignacio)</t>
        </is>
      </c>
      <c r="B8" s="4" t="n">
        <v>14670</v>
      </c>
      <c r="C8" s="4" t="n">
        <v>21226</v>
      </c>
      <c r="D8" s="4" t="n">
        <v>19560</v>
      </c>
      <c r="E8" s="4" t="n">
        <v>19238</v>
      </c>
      <c r="F8" s="4" t="n">
        <v>14957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2490</v>
      </c>
      <c r="L8" s="4" t="n">
        <v>10990</v>
      </c>
      <c r="M8" s="4" t="n">
        <v>0</v>
      </c>
      <c r="N8" s="4" t="n">
        <v>19120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5">
        <f>SUM(B8:T8)</f>
        <v/>
      </c>
    </row>
    <row r="9">
      <c r="A9" s="1" t="inlineStr">
        <is>
          <t>Segunda compra (Ignacio)</t>
        </is>
      </c>
      <c r="B9" s="4" t="n">
        <v>4890</v>
      </c>
      <c r="C9" s="4" t="n">
        <v>0</v>
      </c>
      <c r="D9" s="4" t="n">
        <v>33693</v>
      </c>
      <c r="E9" s="4" t="n">
        <v>0</v>
      </c>
      <c r="F9" s="4" t="n">
        <v>0</v>
      </c>
      <c r="G9" s="4" t="n">
        <v>16353</v>
      </c>
      <c r="H9" s="4" t="n">
        <v>6205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5">
        <f>SUM(B9:T9)</f>
        <v/>
      </c>
    </row>
    <row r="10">
      <c r="A10" s="1" t="inlineStr">
        <is>
          <t>Tercera compra (Mindy)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8400</v>
      </c>
      <c r="J10" s="4" t="n">
        <v>0</v>
      </c>
      <c r="K10" s="4" t="n">
        <v>0</v>
      </c>
      <c r="L10" s="4" t="n">
        <v>0</v>
      </c>
      <c r="M10" s="4" t="n">
        <v>3390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5">
        <f>SUM(B10:T10)</f>
        <v/>
      </c>
    </row>
    <row r="11">
      <c r="A11" s="1" t="inlineStr">
        <is>
          <t>Cuarta compra (Joaquín)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5570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5">
        <f>SUM(B11:T11)</f>
        <v/>
      </c>
    </row>
    <row r="12">
      <c r="A12" s="1" t="inlineStr">
        <is>
          <t>Quinta compra (Joaquín - Empanadas)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17500</v>
      </c>
      <c r="P12" s="4" t="n">
        <v>15000</v>
      </c>
      <c r="Q12" s="4" t="n">
        <v>6000</v>
      </c>
      <c r="R12" s="4" t="n">
        <v>3000</v>
      </c>
      <c r="S12" s="4" t="n">
        <v>2250</v>
      </c>
      <c r="T12" s="4" t="n">
        <v>2500</v>
      </c>
      <c r="U12" s="5">
        <f>SUM(B12:T12)</f>
        <v/>
      </c>
    </row>
    <row r="13">
      <c r="A13" s="1" t="inlineStr">
        <is>
          <t>Total</t>
        </is>
      </c>
      <c r="B13" s="5">
        <f>SUM(B8:B12)</f>
        <v/>
      </c>
      <c r="C13" s="5">
        <f>SUM(C8:C12)</f>
        <v/>
      </c>
      <c r="D13" s="5">
        <f>SUM(D8:D12)</f>
        <v/>
      </c>
      <c r="E13" s="5">
        <f>SUM(E8:E12)</f>
        <v/>
      </c>
      <c r="F13" s="5">
        <f>SUM(F8:F12)</f>
        <v/>
      </c>
      <c r="G13" s="5">
        <f>SUM(G8:G12)</f>
        <v/>
      </c>
      <c r="H13" s="5">
        <f>SUM(H8:H12)</f>
        <v/>
      </c>
      <c r="I13" s="5">
        <f>SUM(I8:I12)</f>
        <v/>
      </c>
      <c r="J13" s="5">
        <f>SUM(J8:J12)</f>
        <v/>
      </c>
      <c r="K13" s="5">
        <f>SUM(K8:K12)</f>
        <v/>
      </c>
      <c r="L13" s="5">
        <f>SUM(L8:L12)</f>
        <v/>
      </c>
      <c r="M13" s="5">
        <f>SUM(M8:M12)</f>
        <v/>
      </c>
      <c r="N13" s="5">
        <f>SUM(N8:N12)</f>
        <v/>
      </c>
      <c r="O13" s="5">
        <f>SUM(O8:O12)</f>
        <v/>
      </c>
      <c r="P13" s="5">
        <f>SUM(P8:P12)</f>
        <v/>
      </c>
      <c r="Q13" s="5">
        <f>SUM(Q8:Q12)</f>
        <v/>
      </c>
      <c r="R13" s="5">
        <f>SUM(R8:R12)</f>
        <v/>
      </c>
      <c r="S13" s="5">
        <f>SUM(S8:S12)</f>
        <v/>
      </c>
      <c r="T13" s="5">
        <f>SUM(T8:T12)</f>
        <v/>
      </c>
      <c r="U13" s="6">
        <f>SUM(U8:U12)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3" t="inlineStr">
        <is>
          <t>Integrante</t>
        </is>
      </c>
      <c r="B1" s="3" t="inlineStr">
        <is>
          <t>Chorizo</t>
        </is>
      </c>
      <c r="C1" s="3" t="inlineStr">
        <is>
          <t>Lomo Liso</t>
        </is>
      </c>
      <c r="D1" s="3" t="inlineStr">
        <is>
          <t>Lomo vetado</t>
        </is>
      </c>
      <c r="E1" s="3" t="inlineStr">
        <is>
          <t>Costillar Chileno</t>
        </is>
      </c>
      <c r="F1" s="3" t="inlineStr">
        <is>
          <t>Costillar cerdo</t>
        </is>
      </c>
      <c r="G1" s="3" t="inlineStr">
        <is>
          <t>Trutro</t>
        </is>
      </c>
      <c r="H1" s="3" t="inlineStr">
        <is>
          <t>Pechuga</t>
        </is>
      </c>
      <c r="I1" s="3" t="inlineStr">
        <is>
          <t>Carbón</t>
        </is>
      </c>
      <c r="J1" s="3" t="inlineStr">
        <is>
          <t>Pan Choripán</t>
        </is>
      </c>
      <c r="K1" s="3" t="inlineStr">
        <is>
          <t>Trigo Mote (1kg)</t>
        </is>
      </c>
      <c r="L1" s="3" t="inlineStr">
        <is>
          <t>Huesillos (1kg)</t>
        </is>
      </c>
      <c r="M1" s="3" t="inlineStr">
        <is>
          <t>Chancaca y Azúcar</t>
        </is>
      </c>
      <c r="N1" s="3" t="inlineStr">
        <is>
          <t>Restante</t>
        </is>
      </c>
      <c r="O1" s="3" t="inlineStr">
        <is>
          <t>Pino (1a Empanada)</t>
        </is>
      </c>
      <c r="P1" s="3" t="inlineStr">
        <is>
          <t>Pino (2a Empanada)</t>
        </is>
      </c>
      <c r="Q1" s="3" t="inlineStr">
        <is>
          <t>Mechada</t>
        </is>
      </c>
      <c r="R1" s="3" t="inlineStr">
        <is>
          <t>Camarón Queso</t>
        </is>
      </c>
      <c r="S1" s="3" t="inlineStr">
        <is>
          <t>Queso</t>
        </is>
      </c>
      <c r="T1" s="3" t="inlineStr">
        <is>
          <t>Napolitana</t>
        </is>
      </c>
    </row>
    <row r="2">
      <c r="A2" s="1" t="inlineStr">
        <is>
          <t>Pamela</t>
        </is>
      </c>
      <c r="B2" s="7" t="inlineStr">
        <is>
          <t>Sí</t>
        </is>
      </c>
      <c r="C2" s="7" t="inlineStr">
        <is>
          <t>Sí</t>
        </is>
      </c>
      <c r="D2" s="7" t="inlineStr">
        <is>
          <t>Sí</t>
        </is>
      </c>
      <c r="E2" s="7" t="inlineStr">
        <is>
          <t>Sí</t>
        </is>
      </c>
      <c r="F2" s="7" t="inlineStr">
        <is>
          <t>Sí</t>
        </is>
      </c>
      <c r="G2" s="7" t="inlineStr">
        <is>
          <t>Sí</t>
        </is>
      </c>
      <c r="H2" s="7" t="inlineStr">
        <is>
          <t>Sí</t>
        </is>
      </c>
      <c r="I2" s="7" t="inlineStr">
        <is>
          <t>Sí</t>
        </is>
      </c>
      <c r="J2" s="7" t="inlineStr">
        <is>
          <t>Sí</t>
        </is>
      </c>
      <c r="K2" s="7" t="inlineStr">
        <is>
          <t>Sí</t>
        </is>
      </c>
      <c r="L2" s="7" t="inlineStr">
        <is>
          <t>Sí</t>
        </is>
      </c>
      <c r="M2" s="7" t="inlineStr">
        <is>
          <t>Sí</t>
        </is>
      </c>
      <c r="N2" s="7" t="inlineStr">
        <is>
          <t>Sí</t>
        </is>
      </c>
      <c r="O2" s="7" t="inlineStr">
        <is>
          <t>Sí</t>
        </is>
      </c>
      <c r="P2" s="7" t="inlineStr">
        <is>
          <t>Sí</t>
        </is>
      </c>
      <c r="Q2" s="8" t="inlineStr">
        <is>
          <t>No</t>
        </is>
      </c>
      <c r="R2" s="8" t="inlineStr">
        <is>
          <t>No</t>
        </is>
      </c>
      <c r="S2" s="8" t="inlineStr">
        <is>
          <t>No</t>
        </is>
      </c>
      <c r="T2" s="8" t="inlineStr">
        <is>
          <t>No</t>
        </is>
      </c>
    </row>
    <row r="3">
      <c r="A3" s="1" t="inlineStr">
        <is>
          <t>Cote</t>
        </is>
      </c>
      <c r="B3" s="7" t="inlineStr">
        <is>
          <t>Sí</t>
        </is>
      </c>
      <c r="C3" s="7" t="inlineStr">
        <is>
          <t>Sí</t>
        </is>
      </c>
      <c r="D3" s="7" t="inlineStr">
        <is>
          <t>Sí</t>
        </is>
      </c>
      <c r="E3" s="7" t="inlineStr">
        <is>
          <t>Sí</t>
        </is>
      </c>
      <c r="F3" s="7" t="inlineStr">
        <is>
          <t>Sí</t>
        </is>
      </c>
      <c r="G3" s="7" t="inlineStr">
        <is>
          <t>Sí</t>
        </is>
      </c>
      <c r="H3" s="7" t="inlineStr">
        <is>
          <t>Sí</t>
        </is>
      </c>
      <c r="I3" s="7" t="inlineStr">
        <is>
          <t>Sí</t>
        </is>
      </c>
      <c r="J3" s="7" t="inlineStr">
        <is>
          <t>Sí</t>
        </is>
      </c>
      <c r="K3" s="7" t="inlineStr">
        <is>
          <t>Sí</t>
        </is>
      </c>
      <c r="L3" s="7" t="inlineStr">
        <is>
          <t>Sí</t>
        </is>
      </c>
      <c r="M3" s="7" t="inlineStr">
        <is>
          <t>Sí</t>
        </is>
      </c>
      <c r="N3" s="7" t="inlineStr">
        <is>
          <t>Sí</t>
        </is>
      </c>
      <c r="O3" s="8" t="inlineStr">
        <is>
          <t>No</t>
        </is>
      </c>
      <c r="P3" s="8" t="inlineStr">
        <is>
          <t>No</t>
        </is>
      </c>
      <c r="Q3" s="8" t="inlineStr">
        <is>
          <t>No</t>
        </is>
      </c>
      <c r="R3" s="8" t="inlineStr">
        <is>
          <t>No</t>
        </is>
      </c>
      <c r="S3" s="7" t="inlineStr">
        <is>
          <t>Sí</t>
        </is>
      </c>
      <c r="T3" s="7" t="inlineStr">
        <is>
          <t>Sí</t>
        </is>
      </c>
    </row>
    <row r="4">
      <c r="A4" s="1" t="inlineStr">
        <is>
          <t>Joaquín</t>
        </is>
      </c>
      <c r="B4" s="7" t="inlineStr">
        <is>
          <t>Sí</t>
        </is>
      </c>
      <c r="C4" s="7" t="inlineStr">
        <is>
          <t>Sí</t>
        </is>
      </c>
      <c r="D4" s="7" t="inlineStr">
        <is>
          <t>Sí</t>
        </is>
      </c>
      <c r="E4" s="7" t="inlineStr">
        <is>
          <t>Sí</t>
        </is>
      </c>
      <c r="F4" s="7" t="inlineStr">
        <is>
          <t>Sí</t>
        </is>
      </c>
      <c r="G4" s="7" t="inlineStr">
        <is>
          <t>Sí</t>
        </is>
      </c>
      <c r="H4" s="7" t="inlineStr">
        <is>
          <t>Sí</t>
        </is>
      </c>
      <c r="I4" s="7" t="inlineStr">
        <is>
          <t>Sí</t>
        </is>
      </c>
      <c r="J4" s="7" t="inlineStr">
        <is>
          <t>Sí</t>
        </is>
      </c>
      <c r="K4" s="7" t="inlineStr">
        <is>
          <t>Sí</t>
        </is>
      </c>
      <c r="L4" s="7" t="inlineStr">
        <is>
          <t>Sí</t>
        </is>
      </c>
      <c r="M4" s="7" t="inlineStr">
        <is>
          <t>Sí</t>
        </is>
      </c>
      <c r="N4" s="7" t="inlineStr">
        <is>
          <t>Sí</t>
        </is>
      </c>
      <c r="O4" s="7" t="inlineStr">
        <is>
          <t>Sí</t>
        </is>
      </c>
      <c r="P4" s="7" t="inlineStr">
        <is>
          <t>Sí</t>
        </is>
      </c>
      <c r="Q4" s="8" t="inlineStr">
        <is>
          <t>No</t>
        </is>
      </c>
      <c r="R4" s="8" t="inlineStr">
        <is>
          <t>No</t>
        </is>
      </c>
      <c r="S4" s="8" t="inlineStr">
        <is>
          <t>No</t>
        </is>
      </c>
      <c r="T4" s="8" t="inlineStr">
        <is>
          <t>No</t>
        </is>
      </c>
    </row>
    <row r="5">
      <c r="A5" s="1" t="inlineStr">
        <is>
          <t>Ignacio</t>
        </is>
      </c>
      <c r="B5" s="7" t="inlineStr">
        <is>
          <t>Sí</t>
        </is>
      </c>
      <c r="C5" s="7" t="inlineStr">
        <is>
          <t>Sí</t>
        </is>
      </c>
      <c r="D5" s="7" t="inlineStr">
        <is>
          <t>Sí</t>
        </is>
      </c>
      <c r="E5" s="7" t="inlineStr">
        <is>
          <t>Sí</t>
        </is>
      </c>
      <c r="F5" s="7" t="inlineStr">
        <is>
          <t>Sí</t>
        </is>
      </c>
      <c r="G5" s="7" t="inlineStr">
        <is>
          <t>Sí</t>
        </is>
      </c>
      <c r="H5" s="7" t="inlineStr">
        <is>
          <t>Sí</t>
        </is>
      </c>
      <c r="I5" s="7" t="inlineStr">
        <is>
          <t>Sí</t>
        </is>
      </c>
      <c r="J5" s="7" t="inlineStr">
        <is>
          <t>Sí</t>
        </is>
      </c>
      <c r="K5" s="7" t="inlineStr">
        <is>
          <t>Sí</t>
        </is>
      </c>
      <c r="L5" s="7" t="inlineStr">
        <is>
          <t>Sí</t>
        </is>
      </c>
      <c r="M5" s="7" t="inlineStr">
        <is>
          <t>Sí</t>
        </is>
      </c>
      <c r="N5" s="7" t="inlineStr">
        <is>
          <t>Sí</t>
        </is>
      </c>
      <c r="O5" s="7" t="inlineStr">
        <is>
          <t>Sí</t>
        </is>
      </c>
      <c r="P5" s="7" t="inlineStr">
        <is>
          <t>Sí</t>
        </is>
      </c>
      <c r="Q5" s="8" t="inlineStr">
        <is>
          <t>No</t>
        </is>
      </c>
      <c r="R5" s="8" t="inlineStr">
        <is>
          <t>No</t>
        </is>
      </c>
      <c r="S5" s="8" t="inlineStr">
        <is>
          <t>No</t>
        </is>
      </c>
      <c r="T5" s="8" t="inlineStr">
        <is>
          <t>No</t>
        </is>
      </c>
    </row>
    <row r="6">
      <c r="A6" s="1" t="inlineStr">
        <is>
          <t>Quena</t>
        </is>
      </c>
      <c r="B6" s="7" t="inlineStr">
        <is>
          <t>Sí</t>
        </is>
      </c>
      <c r="C6" s="7" t="inlineStr">
        <is>
          <t>Sí</t>
        </is>
      </c>
      <c r="D6" s="7" t="inlineStr">
        <is>
          <t>Sí</t>
        </is>
      </c>
      <c r="E6" s="7" t="inlineStr">
        <is>
          <t>Sí</t>
        </is>
      </c>
      <c r="F6" s="7" t="inlineStr">
        <is>
          <t>Sí</t>
        </is>
      </c>
      <c r="G6" s="7" t="inlineStr">
        <is>
          <t>Sí</t>
        </is>
      </c>
      <c r="H6" s="7" t="inlineStr">
        <is>
          <t>Sí</t>
        </is>
      </c>
      <c r="I6" s="7" t="inlineStr">
        <is>
          <t>Sí</t>
        </is>
      </c>
      <c r="J6" s="7" t="inlineStr">
        <is>
          <t>Sí</t>
        </is>
      </c>
      <c r="K6" s="7" t="inlineStr">
        <is>
          <t>Sí</t>
        </is>
      </c>
      <c r="L6" s="7" t="inlineStr">
        <is>
          <t>Sí</t>
        </is>
      </c>
      <c r="M6" s="7" t="inlineStr">
        <is>
          <t>Sí</t>
        </is>
      </c>
      <c r="N6" s="7" t="inlineStr">
        <is>
          <t>Sí</t>
        </is>
      </c>
      <c r="O6" s="7" t="inlineStr">
        <is>
          <t>Sí</t>
        </is>
      </c>
      <c r="P6" s="7" t="inlineStr">
        <is>
          <t>Sí</t>
        </is>
      </c>
      <c r="Q6" s="8" t="inlineStr">
        <is>
          <t>No</t>
        </is>
      </c>
      <c r="R6" s="8" t="inlineStr">
        <is>
          <t>No</t>
        </is>
      </c>
      <c r="S6" s="8" t="inlineStr">
        <is>
          <t>No</t>
        </is>
      </c>
      <c r="T6" s="8" t="inlineStr">
        <is>
          <t>No</t>
        </is>
      </c>
    </row>
    <row r="7">
      <c r="A7" s="1" t="inlineStr">
        <is>
          <t>Ale</t>
        </is>
      </c>
      <c r="B7" s="7" t="inlineStr">
        <is>
          <t>Sí</t>
        </is>
      </c>
      <c r="C7" s="7" t="inlineStr">
        <is>
          <t>Sí</t>
        </is>
      </c>
      <c r="D7" s="7" t="inlineStr">
        <is>
          <t>Sí</t>
        </is>
      </c>
      <c r="E7" s="7" t="inlineStr">
        <is>
          <t>Sí</t>
        </is>
      </c>
      <c r="F7" s="7" t="inlineStr">
        <is>
          <t>Sí</t>
        </is>
      </c>
      <c r="G7" s="7" t="inlineStr">
        <is>
          <t>Sí</t>
        </is>
      </c>
      <c r="H7" s="7" t="inlineStr">
        <is>
          <t>Sí</t>
        </is>
      </c>
      <c r="I7" s="7" t="inlineStr">
        <is>
          <t>Sí</t>
        </is>
      </c>
      <c r="J7" s="7" t="inlineStr">
        <is>
          <t>Sí</t>
        </is>
      </c>
      <c r="K7" s="7" t="inlineStr">
        <is>
          <t>Sí</t>
        </is>
      </c>
      <c r="L7" s="7" t="inlineStr">
        <is>
          <t>Sí</t>
        </is>
      </c>
      <c r="M7" s="7" t="inlineStr">
        <is>
          <t>Sí</t>
        </is>
      </c>
      <c r="N7" s="7" t="inlineStr">
        <is>
          <t>Sí</t>
        </is>
      </c>
      <c r="O7" s="8" t="inlineStr">
        <is>
          <t>No</t>
        </is>
      </c>
      <c r="P7" s="8" t="inlineStr">
        <is>
          <t>No</t>
        </is>
      </c>
      <c r="Q7" s="7" t="inlineStr">
        <is>
          <t>Sí</t>
        </is>
      </c>
      <c r="R7" s="8" t="inlineStr">
        <is>
          <t>No</t>
        </is>
      </c>
      <c r="S7" s="8" t="inlineStr">
        <is>
          <t>No</t>
        </is>
      </c>
      <c r="T7" s="8" t="inlineStr">
        <is>
          <t>No</t>
        </is>
      </c>
    </row>
    <row r="8">
      <c r="A8" s="1" t="inlineStr">
        <is>
          <t>Mauri</t>
        </is>
      </c>
      <c r="B8" s="7" t="inlineStr">
        <is>
          <t>Sí</t>
        </is>
      </c>
      <c r="C8" s="7" t="inlineStr">
        <is>
          <t>Sí</t>
        </is>
      </c>
      <c r="D8" s="7" t="inlineStr">
        <is>
          <t>Sí</t>
        </is>
      </c>
      <c r="E8" s="7" t="inlineStr">
        <is>
          <t>Sí</t>
        </is>
      </c>
      <c r="F8" s="7" t="inlineStr">
        <is>
          <t>Sí</t>
        </is>
      </c>
      <c r="G8" s="7" t="inlineStr">
        <is>
          <t>Sí</t>
        </is>
      </c>
      <c r="H8" s="7" t="inlineStr">
        <is>
          <t>Sí</t>
        </is>
      </c>
      <c r="I8" s="7" t="inlineStr">
        <is>
          <t>Sí</t>
        </is>
      </c>
      <c r="J8" s="7" t="inlineStr">
        <is>
          <t>Sí</t>
        </is>
      </c>
      <c r="K8" s="7" t="inlineStr">
        <is>
          <t>Sí</t>
        </is>
      </c>
      <c r="L8" s="7" t="inlineStr">
        <is>
          <t>Sí</t>
        </is>
      </c>
      <c r="M8" s="7" t="inlineStr">
        <is>
          <t>Sí</t>
        </is>
      </c>
      <c r="N8" s="7" t="inlineStr">
        <is>
          <t>Sí</t>
        </is>
      </c>
      <c r="O8" s="7" t="inlineStr">
        <is>
          <t>Sí</t>
        </is>
      </c>
      <c r="P8" s="7" t="inlineStr">
        <is>
          <t>Sí</t>
        </is>
      </c>
      <c r="Q8" s="8" t="inlineStr">
        <is>
          <t>No</t>
        </is>
      </c>
      <c r="R8" s="8" t="inlineStr">
        <is>
          <t>No</t>
        </is>
      </c>
      <c r="S8" s="8" t="inlineStr">
        <is>
          <t>No</t>
        </is>
      </c>
      <c r="T8" s="8" t="inlineStr">
        <is>
          <t>No</t>
        </is>
      </c>
    </row>
    <row r="9">
      <c r="A9" s="1" t="inlineStr">
        <is>
          <t>Mindy</t>
        </is>
      </c>
      <c r="B9" s="7" t="inlineStr">
        <is>
          <t>Sí</t>
        </is>
      </c>
      <c r="C9" s="7" t="inlineStr">
        <is>
          <t>Sí</t>
        </is>
      </c>
      <c r="D9" s="7" t="inlineStr">
        <is>
          <t>Sí</t>
        </is>
      </c>
      <c r="E9" s="7" t="inlineStr">
        <is>
          <t>Sí</t>
        </is>
      </c>
      <c r="F9" s="7" t="inlineStr">
        <is>
          <t>Sí</t>
        </is>
      </c>
      <c r="G9" s="7" t="inlineStr">
        <is>
          <t>Sí</t>
        </is>
      </c>
      <c r="H9" s="7" t="inlineStr">
        <is>
          <t>Sí</t>
        </is>
      </c>
      <c r="I9" s="7" t="inlineStr">
        <is>
          <t>Sí</t>
        </is>
      </c>
      <c r="J9" s="7" t="inlineStr">
        <is>
          <t>Sí</t>
        </is>
      </c>
      <c r="K9" s="7" t="inlineStr">
        <is>
          <t>Sí</t>
        </is>
      </c>
      <c r="L9" s="7" t="inlineStr">
        <is>
          <t>Sí</t>
        </is>
      </c>
      <c r="M9" s="7" t="inlineStr">
        <is>
          <t>Sí</t>
        </is>
      </c>
      <c r="N9" s="7" t="inlineStr">
        <is>
          <t>Sí</t>
        </is>
      </c>
      <c r="O9" s="7" t="inlineStr">
        <is>
          <t>Sí</t>
        </is>
      </c>
      <c r="P9" s="8" t="inlineStr">
        <is>
          <t>No</t>
        </is>
      </c>
      <c r="Q9" s="8" t="inlineStr">
        <is>
          <t>No</t>
        </is>
      </c>
      <c r="R9" s="8" t="inlineStr">
        <is>
          <t>No</t>
        </is>
      </c>
      <c r="S9" s="8" t="inlineStr">
        <is>
          <t>No</t>
        </is>
      </c>
      <c r="T9" s="8" t="inlineStr">
        <is>
          <t>No</t>
        </is>
      </c>
    </row>
    <row r="10">
      <c r="A10" s="1" t="inlineStr">
        <is>
          <t>Monse</t>
        </is>
      </c>
      <c r="B10" s="8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7" t="inlineStr">
        <is>
          <t>Sí</t>
        </is>
      </c>
      <c r="L10" s="7" t="inlineStr">
        <is>
          <t>Sí</t>
        </is>
      </c>
      <c r="M10" s="7" t="inlineStr">
        <is>
          <t>Sí</t>
        </is>
      </c>
      <c r="N10" s="7" t="inlineStr">
        <is>
          <t>Sí</t>
        </is>
      </c>
      <c r="O10" s="8" t="inlineStr">
        <is>
          <t>No</t>
        </is>
      </c>
      <c r="P10" s="8" t="inlineStr">
        <is>
          <t>No</t>
        </is>
      </c>
      <c r="Q10" s="8" t="inlineStr">
        <is>
          <t>No</t>
        </is>
      </c>
      <c r="R10" s="8" t="inlineStr">
        <is>
          <t>No</t>
        </is>
      </c>
      <c r="S10" s="8" t="inlineStr">
        <is>
          <t>No</t>
        </is>
      </c>
      <c r="T10" s="8" t="inlineStr">
        <is>
          <t>No</t>
        </is>
      </c>
    </row>
    <row r="11">
      <c r="A11" s="1" t="inlineStr">
        <is>
          <t>Gustavo</t>
        </is>
      </c>
      <c r="B11" s="7" t="inlineStr">
        <is>
          <t>Sí</t>
        </is>
      </c>
      <c r="C11" s="7" t="inlineStr">
        <is>
          <t>Sí</t>
        </is>
      </c>
      <c r="D11" s="7" t="inlineStr">
        <is>
          <t>Sí</t>
        </is>
      </c>
      <c r="E11" s="7" t="inlineStr">
        <is>
          <t>Sí</t>
        </is>
      </c>
      <c r="F11" s="7" t="inlineStr">
        <is>
          <t>Sí</t>
        </is>
      </c>
      <c r="G11" s="7" t="inlineStr">
        <is>
          <t>Sí</t>
        </is>
      </c>
      <c r="H11" s="7" t="inlineStr">
        <is>
          <t>Sí</t>
        </is>
      </c>
      <c r="I11" s="7" t="inlineStr">
        <is>
          <t>Sí</t>
        </is>
      </c>
      <c r="J11" s="7" t="inlineStr">
        <is>
          <t>Sí</t>
        </is>
      </c>
      <c r="K11" s="7" t="inlineStr">
        <is>
          <t>Sí</t>
        </is>
      </c>
      <c r="L11" s="7" t="inlineStr">
        <is>
          <t>Sí</t>
        </is>
      </c>
      <c r="M11" s="7" t="inlineStr">
        <is>
          <t>Sí</t>
        </is>
      </c>
      <c r="N11" s="7" t="inlineStr">
        <is>
          <t>Sí</t>
        </is>
      </c>
      <c r="O11" s="7" t="inlineStr">
        <is>
          <t>Sí</t>
        </is>
      </c>
      <c r="P11" s="7" t="inlineStr">
        <is>
          <t>Sí</t>
        </is>
      </c>
      <c r="Q11" s="8" t="inlineStr">
        <is>
          <t>No</t>
        </is>
      </c>
      <c r="R11" s="8" t="inlineStr">
        <is>
          <t>No</t>
        </is>
      </c>
      <c r="S11" s="8" t="inlineStr">
        <is>
          <t>No</t>
        </is>
      </c>
      <c r="T11" s="8" t="inlineStr">
        <is>
          <t>No</t>
        </is>
      </c>
    </row>
    <row r="12">
      <c r="A12" s="1" t="inlineStr">
        <is>
          <t>Coni</t>
        </is>
      </c>
      <c r="B12" s="7" t="inlineStr">
        <is>
          <t>Sí</t>
        </is>
      </c>
      <c r="C12" s="7" t="inlineStr">
        <is>
          <t>Sí</t>
        </is>
      </c>
      <c r="D12" s="7" t="inlineStr">
        <is>
          <t>Sí</t>
        </is>
      </c>
      <c r="E12" s="7" t="inlineStr">
        <is>
          <t>Sí</t>
        </is>
      </c>
      <c r="F12" s="7" t="inlineStr">
        <is>
          <t>Sí</t>
        </is>
      </c>
      <c r="G12" s="7" t="inlineStr">
        <is>
          <t>Sí</t>
        </is>
      </c>
      <c r="H12" s="7" t="inlineStr">
        <is>
          <t>Sí</t>
        </is>
      </c>
      <c r="I12" s="7" t="inlineStr">
        <is>
          <t>Sí</t>
        </is>
      </c>
      <c r="J12" s="7" t="inlineStr">
        <is>
          <t>Sí</t>
        </is>
      </c>
      <c r="K12" s="7" t="inlineStr">
        <is>
          <t>Sí</t>
        </is>
      </c>
      <c r="L12" s="7" t="inlineStr">
        <is>
          <t>Sí</t>
        </is>
      </c>
      <c r="M12" s="7" t="inlineStr">
        <is>
          <t>Sí</t>
        </is>
      </c>
      <c r="N12" s="7" t="inlineStr">
        <is>
          <t>Sí</t>
        </is>
      </c>
      <c r="O12" s="8" t="inlineStr">
        <is>
          <t>No</t>
        </is>
      </c>
      <c r="P12" s="8" t="inlineStr">
        <is>
          <t>No</t>
        </is>
      </c>
      <c r="Q12" s="8" t="inlineStr">
        <is>
          <t>No</t>
        </is>
      </c>
      <c r="R12" s="8" t="inlineStr">
        <is>
          <t>No</t>
        </is>
      </c>
      <c r="S12" s="8" t="inlineStr">
        <is>
          <t>No</t>
        </is>
      </c>
      <c r="T12" s="8" t="inlineStr">
        <is>
          <t>No</t>
        </is>
      </c>
    </row>
    <row r="13">
      <c r="A13" s="1" t="inlineStr">
        <is>
          <t>Myriam</t>
        </is>
      </c>
      <c r="B13" s="8" t="inlineStr">
        <is>
          <t>No</t>
        </is>
      </c>
      <c r="C13" s="8" t="inlineStr">
        <is>
          <t>No</t>
        </is>
      </c>
      <c r="D13" s="8" t="inlineStr">
        <is>
          <t>No</t>
        </is>
      </c>
      <c r="E13" s="7" t="inlineStr">
        <is>
          <t>Sí</t>
        </is>
      </c>
      <c r="F13" s="7" t="inlineStr">
        <is>
          <t>Sí</t>
        </is>
      </c>
      <c r="G13" s="7" t="inlineStr">
        <is>
          <t>Sí</t>
        </is>
      </c>
      <c r="H13" s="7" t="inlineStr">
        <is>
          <t>Sí</t>
        </is>
      </c>
      <c r="I13" s="7" t="inlineStr">
        <is>
          <t>Sí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No</t>
        </is>
      </c>
      <c r="M13" s="8" t="inlineStr">
        <is>
          <t>No</t>
        </is>
      </c>
      <c r="N13" s="7" t="inlineStr">
        <is>
          <t>Sí</t>
        </is>
      </c>
      <c r="O13" s="8" t="inlineStr">
        <is>
          <t>No</t>
        </is>
      </c>
      <c r="P13" s="8" t="inlineStr">
        <is>
          <t>No</t>
        </is>
      </c>
      <c r="Q13" s="8" t="inlineStr">
        <is>
          <t>No</t>
        </is>
      </c>
      <c r="R13" s="8" t="inlineStr">
        <is>
          <t>No</t>
        </is>
      </c>
      <c r="S13" s="8" t="inlineStr">
        <is>
          <t>No</t>
        </is>
      </c>
      <c r="T13" s="8" t="inlineStr">
        <is>
          <t>No</t>
        </is>
      </c>
    </row>
    <row r="14">
      <c r="A14" s="1" t="inlineStr">
        <is>
          <t>Abuelo Coni</t>
        </is>
      </c>
      <c r="B14" s="7" t="inlineStr">
        <is>
          <t>Sí</t>
        </is>
      </c>
      <c r="C14" s="7" t="inlineStr">
        <is>
          <t>Sí</t>
        </is>
      </c>
      <c r="D14" s="7" t="inlineStr">
        <is>
          <t>Sí</t>
        </is>
      </c>
      <c r="E14" s="7" t="inlineStr">
        <is>
          <t>Sí</t>
        </is>
      </c>
      <c r="F14" s="7" t="inlineStr">
        <is>
          <t>Sí</t>
        </is>
      </c>
      <c r="G14" s="7" t="inlineStr">
        <is>
          <t>Sí</t>
        </is>
      </c>
      <c r="H14" s="7" t="inlineStr">
        <is>
          <t>Sí</t>
        </is>
      </c>
      <c r="I14" s="7" t="inlineStr">
        <is>
          <t>Sí</t>
        </is>
      </c>
      <c r="J14" s="7" t="inlineStr">
        <is>
          <t>Sí</t>
        </is>
      </c>
      <c r="K14" s="8" t="inlineStr">
        <is>
          <t>No</t>
        </is>
      </c>
      <c r="L14" s="8" t="inlineStr">
        <is>
          <t>No</t>
        </is>
      </c>
      <c r="M14" s="8" t="inlineStr">
        <is>
          <t>No</t>
        </is>
      </c>
      <c r="N14" s="7" t="inlineStr">
        <is>
          <t>Sí</t>
        </is>
      </c>
      <c r="O14" s="8" t="inlineStr">
        <is>
          <t>No</t>
        </is>
      </c>
      <c r="P14" s="8" t="inlineStr">
        <is>
          <t>No</t>
        </is>
      </c>
      <c r="Q14" s="8" t="inlineStr">
        <is>
          <t>No</t>
        </is>
      </c>
      <c r="R14" s="8" t="inlineStr">
        <is>
          <t>No</t>
        </is>
      </c>
      <c r="S14" s="8" t="inlineStr">
        <is>
          <t>No</t>
        </is>
      </c>
      <c r="T14" s="8" t="inlineStr">
        <is>
          <t>No</t>
        </is>
      </c>
    </row>
    <row r="15">
      <c r="A15" s="1" t="inlineStr">
        <is>
          <t>Mamá Mauri</t>
        </is>
      </c>
      <c r="B15" s="7" t="inlineStr">
        <is>
          <t>Sí</t>
        </is>
      </c>
      <c r="C15" s="7" t="inlineStr">
        <is>
          <t>Sí</t>
        </is>
      </c>
      <c r="D15" s="7" t="inlineStr">
        <is>
          <t>Sí</t>
        </is>
      </c>
      <c r="E15" s="7" t="inlineStr">
        <is>
          <t>Sí</t>
        </is>
      </c>
      <c r="F15" s="7" t="inlineStr">
        <is>
          <t>Sí</t>
        </is>
      </c>
      <c r="G15" s="7" t="inlineStr">
        <is>
          <t>Sí</t>
        </is>
      </c>
      <c r="H15" s="7" t="inlineStr">
        <is>
          <t>Sí</t>
        </is>
      </c>
      <c r="I15" s="7" t="inlineStr">
        <is>
          <t>Sí</t>
        </is>
      </c>
      <c r="J15" s="7" t="inlineStr">
        <is>
          <t>Sí</t>
        </is>
      </c>
      <c r="K15" s="7" t="inlineStr">
        <is>
          <t>Sí</t>
        </is>
      </c>
      <c r="L15" s="7" t="inlineStr">
        <is>
          <t>Sí</t>
        </is>
      </c>
      <c r="M15" s="7" t="inlineStr">
        <is>
          <t>Sí</t>
        </is>
      </c>
      <c r="N15" s="7" t="inlineStr">
        <is>
          <t>Sí</t>
        </is>
      </c>
      <c r="O15" s="8" t="inlineStr">
        <is>
          <t>No</t>
        </is>
      </c>
      <c r="P15" s="8" t="inlineStr">
        <is>
          <t>No</t>
        </is>
      </c>
      <c r="Q15" s="8" t="inlineStr">
        <is>
          <t>No</t>
        </is>
      </c>
      <c r="R15" s="8" t="inlineStr">
        <is>
          <t>No</t>
        </is>
      </c>
      <c r="S15" s="8" t="inlineStr">
        <is>
          <t>No</t>
        </is>
      </c>
      <c r="T15" s="8" t="inlineStr">
        <is>
          <t>No</t>
        </is>
      </c>
    </row>
    <row r="16">
      <c r="A16" s="1" t="inlineStr">
        <is>
          <t>Papá Mauri</t>
        </is>
      </c>
      <c r="B16" s="7" t="inlineStr">
        <is>
          <t>Sí</t>
        </is>
      </c>
      <c r="C16" s="7" t="inlineStr">
        <is>
          <t>Sí</t>
        </is>
      </c>
      <c r="D16" s="7" t="inlineStr">
        <is>
          <t>Sí</t>
        </is>
      </c>
      <c r="E16" s="7" t="inlineStr">
        <is>
          <t>Sí</t>
        </is>
      </c>
      <c r="F16" s="7" t="inlineStr">
        <is>
          <t>Sí</t>
        </is>
      </c>
      <c r="G16" s="7" t="inlineStr">
        <is>
          <t>Sí</t>
        </is>
      </c>
      <c r="H16" s="7" t="inlineStr">
        <is>
          <t>Sí</t>
        </is>
      </c>
      <c r="I16" s="7" t="inlineStr">
        <is>
          <t>Sí</t>
        </is>
      </c>
      <c r="J16" s="7" t="inlineStr">
        <is>
          <t>Sí</t>
        </is>
      </c>
      <c r="K16" s="7" t="inlineStr">
        <is>
          <t>Sí</t>
        </is>
      </c>
      <c r="L16" s="7" t="inlineStr">
        <is>
          <t>Sí</t>
        </is>
      </c>
      <c r="M16" s="7" t="inlineStr">
        <is>
          <t>Sí</t>
        </is>
      </c>
      <c r="N16" s="7" t="inlineStr">
        <is>
          <t>Sí</t>
        </is>
      </c>
      <c r="O16" s="8" t="inlineStr">
        <is>
          <t>No</t>
        </is>
      </c>
      <c r="P16" s="8" t="inlineStr">
        <is>
          <t>No</t>
        </is>
      </c>
      <c r="Q16" s="8" t="inlineStr">
        <is>
          <t>No</t>
        </is>
      </c>
      <c r="R16" s="8" t="inlineStr">
        <is>
          <t>No</t>
        </is>
      </c>
      <c r="S16" s="8" t="inlineStr">
        <is>
          <t>No</t>
        </is>
      </c>
      <c r="T16" s="8" t="inlineStr">
        <is>
          <t>No</t>
        </is>
      </c>
    </row>
    <row r="17">
      <c r="A17" s="1" t="inlineStr">
        <is>
          <t>Franklin</t>
        </is>
      </c>
      <c r="B17" s="7" t="inlineStr">
        <is>
          <t>Sí</t>
        </is>
      </c>
      <c r="C17" s="7" t="inlineStr">
        <is>
          <t>Sí</t>
        </is>
      </c>
      <c r="D17" s="7" t="inlineStr">
        <is>
          <t>Sí</t>
        </is>
      </c>
      <c r="E17" s="7" t="inlineStr">
        <is>
          <t>Sí</t>
        </is>
      </c>
      <c r="F17" s="7" t="inlineStr">
        <is>
          <t>Sí</t>
        </is>
      </c>
      <c r="G17" s="7" t="inlineStr">
        <is>
          <t>Sí</t>
        </is>
      </c>
      <c r="H17" s="7" t="inlineStr">
        <is>
          <t>Sí</t>
        </is>
      </c>
      <c r="I17" s="7" t="inlineStr">
        <is>
          <t>Sí</t>
        </is>
      </c>
      <c r="J17" s="7" t="inlineStr">
        <is>
          <t>Sí</t>
        </is>
      </c>
      <c r="K17" s="7" t="inlineStr">
        <is>
          <t>Sí</t>
        </is>
      </c>
      <c r="L17" s="7" t="inlineStr">
        <is>
          <t>Sí</t>
        </is>
      </c>
      <c r="M17" s="7" t="inlineStr">
        <is>
          <t>Sí</t>
        </is>
      </c>
      <c r="N17" s="7" t="inlineStr">
        <is>
          <t>Sí</t>
        </is>
      </c>
      <c r="O17" s="8" t="inlineStr">
        <is>
          <t>No</t>
        </is>
      </c>
      <c r="P17" s="8" t="inlineStr">
        <is>
          <t>No</t>
        </is>
      </c>
      <c r="Q17" s="7" t="inlineStr">
        <is>
          <t>Sí</t>
        </is>
      </c>
      <c r="R17" s="7" t="inlineStr">
        <is>
          <t>Sí</t>
        </is>
      </c>
      <c r="S17" s="8" t="inlineStr">
        <is>
          <t>No</t>
        </is>
      </c>
      <c r="T17" s="8" t="inlineStr">
        <is>
          <t>No</t>
        </is>
      </c>
    </row>
    <row r="18">
      <c r="A18" s="1" t="inlineStr">
        <is>
          <t>Total Consumidores</t>
        </is>
      </c>
      <c r="B18" s="9">
        <f>COUNTIF(B2:B17, "Sí")</f>
        <v/>
      </c>
      <c r="C18" s="9">
        <f>COUNTIF(C2:C17, "Sí")</f>
        <v/>
      </c>
      <c r="D18" s="9">
        <f>COUNTIF(D2:D17, "Sí")</f>
        <v/>
      </c>
      <c r="E18" s="9">
        <f>COUNTIF(E2:E17, "Sí")</f>
        <v/>
      </c>
      <c r="F18" s="9">
        <f>COUNTIF(F2:F17, "Sí")</f>
        <v/>
      </c>
      <c r="G18" s="9">
        <f>COUNTIF(G2:G17, "Sí")</f>
        <v/>
      </c>
      <c r="H18" s="9">
        <f>COUNTIF(H2:H17, "Sí")</f>
        <v/>
      </c>
      <c r="I18" s="9">
        <f>COUNTIF(I2:I17, "Sí")</f>
        <v/>
      </c>
      <c r="J18" s="9">
        <f>COUNTIF(J2:J17, "Sí")</f>
        <v/>
      </c>
      <c r="K18" s="9">
        <f>COUNTIF(K2:K17, "Sí")</f>
        <v/>
      </c>
      <c r="L18" s="9">
        <f>COUNTIF(L2:L17, "Sí")</f>
        <v/>
      </c>
      <c r="M18" s="9">
        <f>COUNTIF(M2:M17, "Sí")</f>
        <v/>
      </c>
      <c r="N18" s="9">
        <f>COUNTIF(N2:N17, "Sí")</f>
        <v/>
      </c>
      <c r="O18" s="9">
        <f>COUNTIF(O2:O17, "Sí")</f>
        <v/>
      </c>
      <c r="P18" s="9">
        <f>COUNTIF(P2:P17, "Sí")</f>
        <v/>
      </c>
      <c r="Q18" s="9">
        <f>COUNTIF(Q2:Q17, "Sí")</f>
        <v/>
      </c>
      <c r="R18" s="9">
        <f>COUNTIF(R2:R17, "Sí")</f>
        <v/>
      </c>
      <c r="S18" s="9">
        <f>COUNTIF(S2:S17, "Sí")</f>
        <v/>
      </c>
      <c r="T18" s="9">
        <f>COUNTIF(T2:T17, "Sí")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703" customWidth="1" min="2" max="2"/>
    <col width="28" customWidth="1" min="3" max="3"/>
    <col width="23" customWidth="1" min="4" max="4"/>
    <col width="23" customWidth="1" min="5" max="5"/>
    <col width="50" customWidth="1" min="6" max="6"/>
    <col width="41" customWidth="1" min="7" max="7"/>
    <col width="20" customWidth="1" min="8" max="8"/>
  </cols>
  <sheetData>
    <row r="1">
      <c r="A1" s="3" t="inlineStr">
        <is>
          <t>Integrante</t>
        </is>
      </c>
      <c r="B1" s="3" t="inlineStr">
        <is>
          <t>Consumo Propio</t>
        </is>
      </c>
      <c r="C1" s="3" t="inlineStr">
        <is>
          <t>Aporte Cuota Quena (1/4)</t>
        </is>
      </c>
      <c r="D1" s="3" t="inlineStr">
        <is>
          <t>Total Cuota a Pagar</t>
        </is>
      </c>
      <c r="E1" s="3" t="inlineStr">
        <is>
          <t>Aportado en Compras</t>
        </is>
      </c>
      <c r="F1" s="3" t="inlineStr">
        <is>
          <t>Saldo a Liquidar</t>
        </is>
      </c>
      <c r="G1" s="3" t="inlineStr">
        <is>
          <t>Destinatario / Acción</t>
        </is>
      </c>
      <c r="H1" s="3" t="inlineStr">
        <is>
          <t>Estado</t>
        </is>
      </c>
    </row>
    <row r="2">
      <c r="A2" s="1" t="inlineStr">
        <is>
          <t>Pamela</t>
        </is>
      </c>
      <c r="B2" s="4">
        <f>ROUND(IF('Consumo por Integrante'!B2="Sí", Compras!B$13 / 'Consumo por Integrante'!B$18, 0) + IF('Consumo por Integrante'!C2="Sí", Compras!C$13 / 'Consumo por Integrante'!C$18, 0) + IF('Consumo por Integrante'!D2="Sí", Compras!D$13 / 'Consumo por Integrante'!D$18, 0) + IF('Consumo por Integrante'!E2="Sí", Compras!E$13 / 'Consumo por Integrante'!E$18, 0) + IF('Consumo por Integrante'!F2="Sí", Compras!F$13 / 'Consumo por Integrante'!F$18, 0) + IF('Consumo por Integrante'!G2="Sí", Compras!G$13 / 'Consumo por Integrante'!G$18, 0) + IF('Consumo por Integrante'!H2="Sí", Compras!H$13 / 'Consumo por Integrante'!H$18, 0) + IF('Consumo por Integrante'!I2="Sí", Compras!I$13 / 'Consumo por Integrante'!I$18, 0) + IF('Consumo por Integrante'!J2="Sí", Compras!J$13 / 'Consumo por Integrante'!J$18, 0) + IF('Consumo por Integrante'!K2="Sí", Compras!K$13 / 'Consumo por Integrante'!K$18, 0) + IF('Consumo por Integrante'!L2="Sí", Compras!L$13 / 'Consumo por Integrante'!L$18, 0) + IF('Consumo por Integrante'!M2="Sí", Compras!M$13 / 'Consumo por Integrante'!M$18, 0) + IF('Consumo por Integrante'!N2="Sí", Compras!N$13 / 'Consumo por Integrante'!N$18, 0) + IF('Consumo por Integrante'!O2="Sí", Compras!O$13 / 'Consumo por Integrante'!O$18, 0) + IF('Consumo por Integrante'!P2="Sí", Compras!P$13 / 'Consumo por Integrante'!P$18, 0) + IF('Consumo por Integrante'!Q2="Sí", Compras!Q$13 / 'Consumo por Integrante'!Q$18, 0) + IF('Consumo por Integrante'!R2="Sí", Compras!R$13 / 'Consumo por Integrante'!R$18, 0) + IF('Consumo por Integrante'!S2="Sí", Compras!S$13 / 'Consumo por Integrante'!S$18, 0) + IF('Consumo por Integrante'!T2="Sí", Compras!T$13 / 'Consumo por Integrante'!T$18, 0), 0)</f>
        <v/>
      </c>
      <c r="C2" s="10">
        <f>ROUND(B$6/4, 0)</f>
        <v/>
      </c>
      <c r="D2" s="5">
        <f>B2+C2</f>
        <v/>
      </c>
      <c r="E2" s="4" t="n">
        <v>0</v>
      </c>
      <c r="F2" s="11">
        <f>IF(D2-E2&gt;0, D2-E2, 0)</f>
        <v/>
      </c>
      <c r="G2" s="12" t="inlineStr">
        <is>
          <t>Transfiere a Ignacio</t>
        </is>
      </c>
      <c r="H2" s="13" t="inlineStr">
        <is>
          <t>Pagado</t>
        </is>
      </c>
    </row>
    <row r="3">
      <c r="A3" s="1" t="inlineStr">
        <is>
          <t>Cote</t>
        </is>
      </c>
      <c r="B3" s="4">
        <f>ROUND(IF('Consumo por Integrante'!B3="Sí", Compras!B$13 / 'Consumo por Integrante'!B$18, 0) + IF('Consumo por Integrante'!C3="Sí", Compras!C$13 / 'Consumo por Integrante'!C$18, 0) + IF('Consumo por Integrante'!D3="Sí", Compras!D$13 / 'Consumo por Integrante'!D$18, 0) + IF('Consumo por Integrante'!E3="Sí", Compras!E$13 / 'Consumo por Integrante'!E$18, 0) + IF('Consumo por Integrante'!F3="Sí", Compras!F$13 / 'Consumo por Integrante'!F$18, 0) + IF('Consumo por Integrante'!G3="Sí", Compras!G$13 / 'Consumo por Integrante'!G$18, 0) + IF('Consumo por Integrante'!H3="Sí", Compras!H$13 / 'Consumo por Integrante'!H$18, 0) + IF('Consumo por Integrante'!I3="Sí", Compras!I$13 / 'Consumo por Integrante'!I$18, 0) + IF('Consumo por Integrante'!J3="Sí", Compras!J$13 / 'Consumo por Integrante'!J$18, 0) + IF('Consumo por Integrante'!K3="Sí", Compras!K$13 / 'Consumo por Integrante'!K$18, 0) + IF('Consumo por Integrante'!L3="Sí", Compras!L$13 / 'Consumo por Integrante'!L$18, 0) + IF('Consumo por Integrante'!M3="Sí", Compras!M$13 / 'Consumo por Integrante'!M$18, 0) + IF('Consumo por Integrante'!N3="Sí", Compras!N$13 / 'Consumo por Integrante'!N$18, 0) + IF('Consumo por Integrante'!O3="Sí", Compras!O$13 / 'Consumo por Integrante'!O$18, 0) + IF('Consumo por Integrante'!P3="Sí", Compras!P$13 / 'Consumo por Integrante'!P$18, 0) + IF('Consumo por Integrante'!Q3="Sí", Compras!Q$13 / 'Consumo por Integrante'!Q$18, 0) + IF('Consumo por Integrante'!R3="Sí", Compras!R$13 / 'Consumo por Integrante'!R$18, 0) + IF('Consumo por Integrante'!S3="Sí", Compras!S$13 / 'Consumo por Integrante'!S$18, 0) + IF('Consumo por Integrante'!T3="Sí", Compras!T$13 / 'Consumo por Integrante'!T$18, 0), 0)</f>
        <v/>
      </c>
      <c r="C3" s="4" t="n">
        <v>0</v>
      </c>
      <c r="D3" s="5">
        <f>B3+C3</f>
        <v/>
      </c>
      <c r="E3" s="4" t="n">
        <v>0</v>
      </c>
      <c r="F3" s="11">
        <f>IF(D3-E3&gt;0, D3-E3, 0)</f>
        <v/>
      </c>
      <c r="G3" s="12" t="inlineStr">
        <is>
          <t>Transfiere a Ignacio</t>
        </is>
      </c>
      <c r="H3" s="13" t="inlineStr">
        <is>
          <t>Pagado</t>
        </is>
      </c>
    </row>
    <row r="4">
      <c r="A4" s="1" t="inlineStr">
        <is>
          <t>Joaquín</t>
        </is>
      </c>
      <c r="B4" s="4">
        <f>ROUND(IF('Consumo por Integrante'!B4="Sí", Compras!B$13 / 'Consumo por Integrante'!B$18, 0) + IF('Consumo por Integrante'!C4="Sí", Compras!C$13 / 'Consumo por Integrante'!C$18, 0) + IF('Consumo por Integrante'!D4="Sí", Compras!D$13 / 'Consumo por Integrante'!D$18, 0) + IF('Consumo por Integrante'!E4="Sí", Compras!E$13 / 'Consumo por Integrante'!E$18, 0) + IF('Consumo por Integrante'!F4="Sí", Compras!F$13 / 'Consumo por Integrante'!F$18, 0) + IF('Consumo por Integrante'!G4="Sí", Compras!G$13 / 'Consumo por Integrante'!G$18, 0) + IF('Consumo por Integrante'!H4="Sí", Compras!H$13 / 'Consumo por Integrante'!H$18, 0) + IF('Consumo por Integrante'!I4="Sí", Compras!I$13 / 'Consumo por Integrante'!I$18, 0) + IF('Consumo por Integrante'!J4="Sí", Compras!J$13 / 'Consumo por Integrante'!J$18, 0) + IF('Consumo por Integrante'!K4="Sí", Compras!K$13 / 'Consumo por Integrante'!K$18, 0) + IF('Consumo por Integrante'!L4="Sí", Compras!L$13 / 'Consumo por Integrante'!L$18, 0) + IF('Consumo por Integrante'!M4="Sí", Compras!M$13 / 'Consumo por Integrante'!M$18, 0) + IF('Consumo por Integrante'!N4="Sí", Compras!N$13 / 'Consumo por Integrante'!N$18, 0) + IF('Consumo por Integrante'!O4="Sí", Compras!O$13 / 'Consumo por Integrante'!O$18, 0) + IF('Consumo por Integrante'!P4="Sí", Compras!P$13 / 'Consumo por Integrante'!P$18, 0) + IF('Consumo por Integrante'!Q4="Sí", Compras!Q$13 / 'Consumo por Integrante'!Q$18, 0) + IF('Consumo por Integrante'!R4="Sí", Compras!R$13 / 'Consumo por Integrante'!R$18, 0) + IF('Consumo por Integrante'!S4="Sí", Compras!S$13 / 'Consumo por Integrante'!S$18, 0) + IF('Consumo por Integrante'!T4="Sí", Compras!T$13 / 'Consumo por Integrante'!T$18, 0), 0)</f>
        <v/>
      </c>
      <c r="C4" s="10">
        <f>ROUND(B$6/4, 0)</f>
        <v/>
      </c>
      <c r="D4" s="5">
        <f>B4+C4</f>
        <v/>
      </c>
      <c r="E4" s="4" t="n">
        <v>51820</v>
      </c>
      <c r="F4" s="14">
        <f>E4-D4</f>
        <v/>
      </c>
      <c r="G4" s="12" t="inlineStr">
        <is>
          <t>Ignacio le transfiere (Saldo a favor)</t>
        </is>
      </c>
      <c r="H4" s="12" t="inlineStr">
        <is>
          <t>A favor (Recibe)</t>
        </is>
      </c>
    </row>
    <row r="5">
      <c r="A5" s="1" t="inlineStr">
        <is>
          <t>Ignacio</t>
        </is>
      </c>
      <c r="B5" s="4">
        <f>ROUND(IF('Consumo por Integrante'!B5="Sí", Compras!B$13 / 'Consumo por Integrante'!B$18, 0) + IF('Consumo por Integrante'!C5="Sí", Compras!C$13 / 'Consumo por Integrante'!C$18, 0) + IF('Consumo por Integrante'!D5="Sí", Compras!D$13 / 'Consumo por Integrante'!D$18, 0) + IF('Consumo por Integrante'!E5="Sí", Compras!E$13 / 'Consumo por Integrante'!E$18, 0) + IF('Consumo por Integrante'!F5="Sí", Compras!F$13 / 'Consumo por Integrante'!F$18, 0) + IF('Consumo por Integrante'!G5="Sí", Compras!G$13 / 'Consumo por Integrante'!G$18, 0) + IF('Consumo por Integrante'!H5="Sí", Compras!H$13 / 'Consumo por Integrante'!H$18, 0) + IF('Consumo por Integrante'!I5="Sí", Compras!I$13 / 'Consumo por Integrante'!I$18, 0) + IF('Consumo por Integrante'!J5="Sí", Compras!J$13 / 'Consumo por Integrante'!J$18, 0) + IF('Consumo por Integrante'!K5="Sí", Compras!K$13 / 'Consumo por Integrante'!K$18, 0) + IF('Consumo por Integrante'!L5="Sí", Compras!L$13 / 'Consumo por Integrante'!L$18, 0) + IF('Consumo por Integrante'!M5="Sí", Compras!M$13 / 'Consumo por Integrante'!M$18, 0) + IF('Consumo por Integrante'!N5="Sí", Compras!N$13 / 'Consumo por Integrante'!N$18, 0) + IF('Consumo por Integrante'!O5="Sí", Compras!O$13 / 'Consumo por Integrante'!O$18, 0) + IF('Consumo por Integrante'!P5="Sí", Compras!P$13 / 'Consumo por Integrante'!P$18, 0) + IF('Consumo por Integrante'!Q5="Sí", Compras!Q$13 / 'Consumo por Integrante'!Q$18, 0) + IF('Consumo por Integrante'!R5="Sí", Compras!R$13 / 'Consumo por Integrante'!R$18, 0) + IF('Consumo por Integrante'!S5="Sí", Compras!S$13 / 'Consumo por Integrante'!S$18, 0) + IF('Consumo por Integrante'!T5="Sí", Compras!T$13 / 'Consumo por Integrante'!T$18, 0), 0)</f>
        <v/>
      </c>
      <c r="C5" s="4" t="n">
        <v>0</v>
      </c>
      <c r="D5" s="5">
        <f>B5+C5</f>
        <v/>
      </c>
      <c r="E5" s="4" t="n">
        <v>183392</v>
      </c>
      <c r="F5" s="10">
        <f>E5-B5</f>
        <v/>
      </c>
      <c r="G5" s="12" t="inlineStr">
        <is>
          <t>Organizador (Recauda $193.121)</t>
        </is>
      </c>
      <c r="H5" s="12" t="inlineStr">
        <is>
          <t>Organizador</t>
        </is>
      </c>
    </row>
    <row r="6">
      <c r="A6" s="1" t="inlineStr">
        <is>
          <t>Quena</t>
        </is>
      </c>
      <c r="B6" s="4">
        <f>ROUND(IF('Consumo por Integrante'!B6="Sí", Compras!B$13 / 'Consumo por Integrante'!B$18, 0) + IF('Consumo por Integrante'!C6="Sí", Compras!C$13 / 'Consumo por Integrante'!C$18, 0) + IF('Consumo por Integrante'!D6="Sí", Compras!D$13 / 'Consumo por Integrante'!D$18, 0) + IF('Consumo por Integrante'!E6="Sí", Compras!E$13 / 'Consumo por Integrante'!E$18, 0) + IF('Consumo por Integrante'!F6="Sí", Compras!F$13 / 'Consumo por Integrante'!F$18, 0) + IF('Consumo por Integrante'!G6="Sí", Compras!G$13 / 'Consumo por Integrante'!G$18, 0) + IF('Consumo por Integrante'!H6="Sí", Compras!H$13 / 'Consumo por Integrante'!H$18, 0) + IF('Consumo por Integrante'!I6="Sí", Compras!I$13 / 'Consumo por Integrante'!I$18, 0) + IF('Consumo por Integrante'!J6="Sí", Compras!J$13 / 'Consumo por Integrante'!J$18, 0) + IF('Consumo por Integrante'!K6="Sí", Compras!K$13 / 'Consumo por Integrante'!K$18, 0) + IF('Consumo por Integrante'!L6="Sí", Compras!L$13 / 'Consumo por Integrante'!L$18, 0) + IF('Consumo por Integrante'!M6="Sí", Compras!M$13 / 'Consumo por Integrante'!M$18, 0) + IF('Consumo por Integrante'!N6="Sí", Compras!N$13 / 'Consumo por Integrante'!N$18, 0) + IF('Consumo por Integrante'!O6="Sí", Compras!O$13 / 'Consumo por Integrante'!O$18, 0) + IF('Consumo por Integrante'!P6="Sí", Compras!P$13 / 'Consumo por Integrante'!P$18, 0) + IF('Consumo por Integrante'!Q6="Sí", Compras!Q$13 / 'Consumo por Integrante'!Q$18, 0) + IF('Consumo por Integrante'!R6="Sí", Compras!R$13 / 'Consumo por Integrante'!R$18, 0) + IF('Consumo por Integrante'!S6="Sí", Compras!S$13 / 'Consumo por Integrante'!S$18, 0) + IF('Consumo por Integrante'!T6="Sí", Compras!T$13 / 'Consumo por Integrante'!T$18, 0), 0)</f>
        <v/>
      </c>
      <c r="C6" s="15">
        <f>-B6</f>
        <v/>
      </c>
      <c r="D6" s="5" t="n">
        <v>0</v>
      </c>
      <c r="E6" s="4" t="n">
        <v>0</v>
      </c>
      <c r="F6" s="16" t="n">
        <v>0</v>
      </c>
      <c r="G6" s="12" t="inlineStr">
        <is>
          <t>Cubierto por familiares</t>
        </is>
      </c>
      <c r="H6" s="12" t="inlineStr">
        <is>
          <t>Cubierto</t>
        </is>
      </c>
    </row>
    <row r="7">
      <c r="A7" s="1" t="inlineStr">
        <is>
          <t>Ale</t>
        </is>
      </c>
      <c r="B7" s="4">
        <f>ROUND(IF('Consumo por Integrante'!B7="Sí", Compras!B$13 / 'Consumo por Integrante'!B$18, 0) + IF('Consumo por Integrante'!C7="Sí", Compras!C$13 / 'Consumo por Integrante'!C$18, 0) + IF('Consumo por Integrante'!D7="Sí", Compras!D$13 / 'Consumo por Integrante'!D$18, 0) + IF('Consumo por Integrante'!E7="Sí", Compras!E$13 / 'Consumo por Integrante'!E$18, 0) + IF('Consumo por Integrante'!F7="Sí", Compras!F$13 / 'Consumo por Integrante'!F$18, 0) + IF('Consumo por Integrante'!G7="Sí", Compras!G$13 / 'Consumo por Integrante'!G$18, 0) + IF('Consumo por Integrante'!H7="Sí", Compras!H$13 / 'Consumo por Integrante'!H$18, 0) + IF('Consumo por Integrante'!I7="Sí", Compras!I$13 / 'Consumo por Integrante'!I$18, 0) + IF('Consumo por Integrante'!J7="Sí", Compras!J$13 / 'Consumo por Integrante'!J$18, 0) + IF('Consumo por Integrante'!K7="Sí", Compras!K$13 / 'Consumo por Integrante'!K$18, 0) + IF('Consumo por Integrante'!L7="Sí", Compras!L$13 / 'Consumo por Integrante'!L$18, 0) + IF('Consumo por Integrante'!M7="Sí", Compras!M$13 / 'Consumo por Integrante'!M$18, 0) + IF('Consumo por Integrante'!N7="Sí", Compras!N$13 / 'Consumo por Integrante'!N$18, 0) + IF('Consumo por Integrante'!O7="Sí", Compras!O$13 / 'Consumo por Integrante'!O$18, 0) + IF('Consumo por Integrante'!P7="Sí", Compras!P$13 / 'Consumo por Integrante'!P$18, 0) + IF('Consumo por Integrante'!Q7="Sí", Compras!Q$13 / 'Consumo por Integrante'!Q$18, 0) + IF('Consumo por Integrante'!R7="Sí", Compras!R$13 / 'Consumo por Integrante'!R$18, 0) + IF('Consumo por Integrante'!S7="Sí", Compras!S$13 / 'Consumo por Integrante'!S$18, 0) + IF('Consumo por Integrante'!T7="Sí", Compras!T$13 / 'Consumo por Integrante'!T$18, 0), 0)</f>
        <v/>
      </c>
      <c r="C7" s="10">
        <f>ROUND(B$6/4, 0)</f>
        <v/>
      </c>
      <c r="D7" s="5">
        <f>B7+C7</f>
        <v/>
      </c>
      <c r="E7" s="4" t="n">
        <v>0</v>
      </c>
      <c r="F7" s="11">
        <f>IF(D7-E7&gt;0, D7-E7, 0)</f>
        <v/>
      </c>
      <c r="G7" s="12" t="inlineStr">
        <is>
          <t>Transfiere a Ignacio</t>
        </is>
      </c>
      <c r="H7" s="13" t="inlineStr">
        <is>
          <t>Pagado</t>
        </is>
      </c>
    </row>
    <row r="8">
      <c r="A8" s="1" t="inlineStr">
        <is>
          <t>Mauri</t>
        </is>
      </c>
      <c r="B8" s="4">
        <f>ROUND(IF('Consumo por Integrante'!B8="Sí", Compras!B$13 / 'Consumo por Integrante'!B$18, 0) + IF('Consumo por Integrante'!C8="Sí", Compras!C$13 / 'Consumo por Integrante'!C$18, 0) + IF('Consumo por Integrante'!D8="Sí", Compras!D$13 / 'Consumo por Integrante'!D$18, 0) + IF('Consumo por Integrante'!E8="Sí", Compras!E$13 / 'Consumo por Integrante'!E$18, 0) + IF('Consumo por Integrante'!F8="Sí", Compras!F$13 / 'Consumo por Integrante'!F$18, 0) + IF('Consumo por Integrante'!G8="Sí", Compras!G$13 / 'Consumo por Integrante'!G$18, 0) + IF('Consumo por Integrante'!H8="Sí", Compras!H$13 / 'Consumo por Integrante'!H$18, 0) + IF('Consumo por Integrante'!I8="Sí", Compras!I$13 / 'Consumo por Integrante'!I$18, 0) + IF('Consumo por Integrante'!J8="Sí", Compras!J$13 / 'Consumo por Integrante'!J$18, 0) + IF('Consumo por Integrante'!K8="Sí", Compras!K$13 / 'Consumo por Integrante'!K$18, 0) + IF('Consumo por Integrante'!L8="Sí", Compras!L$13 / 'Consumo por Integrante'!L$18, 0) + IF('Consumo por Integrante'!M8="Sí", Compras!M$13 / 'Consumo por Integrante'!M$18, 0) + IF('Consumo por Integrante'!N8="Sí", Compras!N$13 / 'Consumo por Integrante'!N$18, 0) + IF('Consumo por Integrante'!O8="Sí", Compras!O$13 / 'Consumo por Integrante'!O$18, 0) + IF('Consumo por Integrante'!P8="Sí", Compras!P$13 / 'Consumo por Integrante'!P$18, 0) + IF('Consumo por Integrante'!Q8="Sí", Compras!Q$13 / 'Consumo por Integrante'!Q$18, 0) + IF('Consumo por Integrante'!R8="Sí", Compras!R$13 / 'Consumo por Integrante'!R$18, 0) + IF('Consumo por Integrante'!S8="Sí", Compras!S$13 / 'Consumo por Integrante'!S$18, 0) + IF('Consumo por Integrante'!T8="Sí", Compras!T$13 / 'Consumo por Integrante'!T$18, 0), 0)</f>
        <v/>
      </c>
      <c r="C8" s="4" t="n">
        <v>0</v>
      </c>
      <c r="D8" s="5">
        <f>B8+C8</f>
        <v/>
      </c>
      <c r="E8" s="4" t="n">
        <v>0</v>
      </c>
      <c r="F8" s="11">
        <f>IF(D8-E8&gt;0, D8-E8, 0)</f>
        <v/>
      </c>
      <c r="G8" s="12" t="inlineStr">
        <is>
          <t>Transfiere a Ignacio</t>
        </is>
      </c>
      <c r="H8" s="13" t="inlineStr">
        <is>
          <t>Pagado</t>
        </is>
      </c>
    </row>
    <row r="9">
      <c r="A9" s="1" t="inlineStr">
        <is>
          <t>Mindy</t>
        </is>
      </c>
      <c r="B9" s="4">
        <f>ROUND(IF('Consumo por Integrante'!B9="Sí", Compras!B$13 / 'Consumo por Integrante'!B$18, 0) + IF('Consumo por Integrante'!C9="Sí", Compras!C$13 / 'Consumo por Integrante'!C$18, 0) + IF('Consumo por Integrante'!D9="Sí", Compras!D$13 / 'Consumo por Integrante'!D$18, 0) + IF('Consumo por Integrante'!E9="Sí", Compras!E$13 / 'Consumo por Integrante'!E$18, 0) + IF('Consumo por Integrante'!F9="Sí", Compras!F$13 / 'Consumo por Integrante'!F$18, 0) + IF('Consumo por Integrante'!G9="Sí", Compras!G$13 / 'Consumo por Integrante'!G$18, 0) + IF('Consumo por Integrante'!H9="Sí", Compras!H$13 / 'Consumo por Integrante'!H$18, 0) + IF('Consumo por Integrante'!I9="Sí", Compras!I$13 / 'Consumo por Integrante'!I$18, 0) + IF('Consumo por Integrante'!J9="Sí", Compras!J$13 / 'Consumo por Integrante'!J$18, 0) + IF('Consumo por Integrante'!K9="Sí", Compras!K$13 / 'Consumo por Integrante'!K$18, 0) + IF('Consumo por Integrante'!L9="Sí", Compras!L$13 / 'Consumo por Integrante'!L$18, 0) + IF('Consumo por Integrante'!M9="Sí", Compras!M$13 / 'Consumo por Integrante'!M$18, 0) + IF('Consumo por Integrante'!N9="Sí", Compras!N$13 / 'Consumo por Integrante'!N$18, 0) + IF('Consumo por Integrante'!O9="Sí", Compras!O$13 / 'Consumo por Integrante'!O$18, 0) + IF('Consumo por Integrante'!P9="Sí", Compras!P$13 / 'Consumo por Integrante'!P$18, 0) + IF('Consumo por Integrante'!Q9="Sí", Compras!Q$13 / 'Consumo por Integrante'!Q$18, 0) + IF('Consumo por Integrante'!R9="Sí", Compras!R$13 / 'Consumo por Integrante'!R$18, 0) + IF('Consumo por Integrante'!S9="Sí", Compras!S$13 / 'Consumo por Integrante'!S$18, 0) + IF('Consumo por Integrante'!T9="Sí", Compras!T$13 / 'Consumo por Integrante'!T$18, 0), 0)</f>
        <v/>
      </c>
      <c r="C9" s="10">
        <f>ROUND(B$6/4, 0)</f>
        <v/>
      </c>
      <c r="D9" s="5">
        <f>B9+C9</f>
        <v/>
      </c>
      <c r="E9" s="4" t="n">
        <v>11790</v>
      </c>
      <c r="F9" s="11">
        <f>IF(D9-E9&gt;0, D9-E9, 0)</f>
        <v/>
      </c>
      <c r="G9" s="12" t="inlineStr">
        <is>
          <t>Transfiere a Ignacio</t>
        </is>
      </c>
      <c r="H9" s="13" t="inlineStr">
        <is>
          <t>Pagado</t>
        </is>
      </c>
    </row>
    <row r="10">
      <c r="A10" s="1" t="inlineStr">
        <is>
          <t>Monse</t>
        </is>
      </c>
      <c r="B10" s="4">
        <f>ROUND(IF('Consumo por Integrante'!B10="Sí", Compras!B$13 / 'Consumo por Integrante'!B$18, 0) + IF('Consumo por Integrante'!C10="Sí", Compras!C$13 / 'Consumo por Integrante'!C$18, 0) + IF('Consumo por Integrante'!D10="Sí", Compras!D$13 / 'Consumo por Integrante'!D$18, 0) + IF('Consumo por Integrante'!E10="Sí", Compras!E$13 / 'Consumo por Integrante'!E$18, 0) + IF('Consumo por Integrante'!F10="Sí", Compras!F$13 / 'Consumo por Integrante'!F$18, 0) + IF('Consumo por Integrante'!G10="Sí", Compras!G$13 / 'Consumo por Integrante'!G$18, 0) + IF('Consumo por Integrante'!H10="Sí", Compras!H$13 / 'Consumo por Integrante'!H$18, 0) + IF('Consumo por Integrante'!I10="Sí", Compras!I$13 / 'Consumo por Integrante'!I$18, 0) + IF('Consumo por Integrante'!J10="Sí", Compras!J$13 / 'Consumo por Integrante'!J$18, 0) + IF('Consumo por Integrante'!K10="Sí", Compras!K$13 / 'Consumo por Integrante'!K$18, 0) + IF('Consumo por Integrante'!L10="Sí", Compras!L$13 / 'Consumo por Integrante'!L$18, 0) + IF('Consumo por Integrante'!M10="Sí", Compras!M$13 / 'Consumo por Integrante'!M$18, 0) + IF('Consumo por Integrante'!N10="Sí", Compras!N$13 / 'Consumo por Integrante'!N$18, 0) + IF('Consumo por Integrante'!O10="Sí", Compras!O$13 / 'Consumo por Integrante'!O$18, 0) + IF('Consumo por Integrante'!P10="Sí", Compras!P$13 / 'Consumo por Integrante'!P$18, 0) + IF('Consumo por Integrante'!Q10="Sí", Compras!Q$13 / 'Consumo por Integrante'!Q$18, 0) + IF('Consumo por Integrante'!R10="Sí", Compras!R$13 / 'Consumo por Integrante'!R$18, 0) + IF('Consumo por Integrante'!S10="Sí", Compras!S$13 / 'Consumo por Integrante'!S$18, 0) + IF('Consumo por Integrante'!T10="Sí", Compras!T$13 / 'Consumo por Integrante'!T$18, 0), 0)</f>
        <v/>
      </c>
      <c r="C10" s="4" t="n">
        <v>0</v>
      </c>
      <c r="D10" s="5">
        <f>B10+C10</f>
        <v/>
      </c>
      <c r="E10" s="4" t="n">
        <v>0</v>
      </c>
      <c r="F10" s="11">
        <f>IF(D10-E10&gt;0, D10-E10, 0)</f>
        <v/>
      </c>
      <c r="G10" s="12" t="inlineStr">
        <is>
          <t>Transfiere a Ignacio</t>
        </is>
      </c>
      <c r="H10" s="13" t="inlineStr">
        <is>
          <t>Pagado</t>
        </is>
      </c>
    </row>
    <row r="11">
      <c r="A11" s="1" t="inlineStr">
        <is>
          <t>Gustavo</t>
        </is>
      </c>
      <c r="B11" s="4">
        <f>ROUND(IF('Consumo por Integrante'!B11="Sí", Compras!B$13 / 'Consumo por Integrante'!B$18, 0) + IF('Consumo por Integrante'!C11="Sí", Compras!C$13 / 'Consumo por Integrante'!C$18, 0) + IF('Consumo por Integrante'!D11="Sí", Compras!D$13 / 'Consumo por Integrante'!D$18, 0) + IF('Consumo por Integrante'!E11="Sí", Compras!E$13 / 'Consumo por Integrante'!E$18, 0) + IF('Consumo por Integrante'!F11="Sí", Compras!F$13 / 'Consumo por Integrante'!F$18, 0) + IF('Consumo por Integrante'!G11="Sí", Compras!G$13 / 'Consumo por Integrante'!G$18, 0) + IF('Consumo por Integrante'!H11="Sí", Compras!H$13 / 'Consumo por Integrante'!H$18, 0) + IF('Consumo por Integrante'!I11="Sí", Compras!I$13 / 'Consumo por Integrante'!I$18, 0) + IF('Consumo por Integrante'!J11="Sí", Compras!J$13 / 'Consumo por Integrante'!J$18, 0) + IF('Consumo por Integrante'!K11="Sí", Compras!K$13 / 'Consumo por Integrante'!K$18, 0) + IF('Consumo por Integrante'!L11="Sí", Compras!L$13 / 'Consumo por Integrante'!L$18, 0) + IF('Consumo por Integrante'!M11="Sí", Compras!M$13 / 'Consumo por Integrante'!M$18, 0) + IF('Consumo por Integrante'!N11="Sí", Compras!N$13 / 'Consumo por Integrante'!N$18, 0) + IF('Consumo por Integrante'!O11="Sí", Compras!O$13 / 'Consumo por Integrante'!O$18, 0) + IF('Consumo por Integrante'!P11="Sí", Compras!P$13 / 'Consumo por Integrante'!P$18, 0) + IF('Consumo por Integrante'!Q11="Sí", Compras!Q$13 / 'Consumo por Integrante'!Q$18, 0) + IF('Consumo por Integrante'!R11="Sí", Compras!R$13 / 'Consumo por Integrante'!R$18, 0) + IF('Consumo por Integrante'!S11="Sí", Compras!S$13 / 'Consumo por Integrante'!S$18, 0) + IF('Consumo por Integrante'!T11="Sí", Compras!T$13 / 'Consumo por Integrante'!T$18, 0), 0)</f>
        <v/>
      </c>
      <c r="C11" s="4" t="n">
        <v>0</v>
      </c>
      <c r="D11" s="5">
        <f>B11+C11</f>
        <v/>
      </c>
      <c r="E11" s="4" t="n">
        <v>0</v>
      </c>
      <c r="F11" s="11">
        <f>IF(D11-E11&gt;0, D11-E11, 0)</f>
        <v/>
      </c>
      <c r="G11" s="12" t="inlineStr">
        <is>
          <t>Transfiere a Ignacio</t>
        </is>
      </c>
      <c r="H11" s="13" t="inlineStr">
        <is>
          <t>Pagado</t>
        </is>
      </c>
    </row>
    <row r="12">
      <c r="A12" s="1" t="inlineStr">
        <is>
          <t>Coni</t>
        </is>
      </c>
      <c r="B12" s="4">
        <f>ROUND(IF('Consumo por Integrante'!B12="Sí", Compras!B$13 / 'Consumo por Integrante'!B$18, 0) + IF('Consumo por Integrante'!C12="Sí", Compras!C$13 / 'Consumo por Integrante'!C$18, 0) + IF('Consumo por Integrante'!D12="Sí", Compras!D$13 / 'Consumo por Integrante'!D$18, 0) + IF('Consumo por Integrante'!E12="Sí", Compras!E$13 / 'Consumo por Integrante'!E$18, 0) + IF('Consumo por Integrante'!F12="Sí", Compras!F$13 / 'Consumo por Integrante'!F$18, 0) + IF('Consumo por Integrante'!G12="Sí", Compras!G$13 / 'Consumo por Integrante'!G$18, 0) + IF('Consumo por Integrante'!H12="Sí", Compras!H$13 / 'Consumo por Integrante'!H$18, 0) + IF('Consumo por Integrante'!I12="Sí", Compras!I$13 / 'Consumo por Integrante'!I$18, 0) + IF('Consumo por Integrante'!J12="Sí", Compras!J$13 / 'Consumo por Integrante'!J$18, 0) + IF('Consumo por Integrante'!K12="Sí", Compras!K$13 / 'Consumo por Integrante'!K$18, 0) + IF('Consumo por Integrante'!L12="Sí", Compras!L$13 / 'Consumo por Integrante'!L$18, 0) + IF('Consumo por Integrante'!M12="Sí", Compras!M$13 / 'Consumo por Integrante'!M$18, 0) + IF('Consumo por Integrante'!N12="Sí", Compras!N$13 / 'Consumo por Integrante'!N$18, 0) + IF('Consumo por Integrante'!O12="Sí", Compras!O$13 / 'Consumo por Integrante'!O$18, 0) + IF('Consumo por Integrante'!P12="Sí", Compras!P$13 / 'Consumo por Integrante'!P$18, 0) + IF('Consumo por Integrante'!Q12="Sí", Compras!Q$13 / 'Consumo por Integrante'!Q$18, 0) + IF('Consumo por Integrante'!R12="Sí", Compras!R$13 / 'Consumo por Integrante'!R$18, 0) + IF('Consumo por Integrante'!S12="Sí", Compras!S$13 / 'Consumo por Integrante'!S$18, 0) + IF('Consumo por Integrante'!T12="Sí", Compras!T$13 / 'Consumo por Integrante'!T$18, 0), 0)</f>
        <v/>
      </c>
      <c r="C12" s="4" t="n">
        <v>0</v>
      </c>
      <c r="D12" s="5">
        <f>B12+C12</f>
        <v/>
      </c>
      <c r="E12" s="4" t="n">
        <v>0</v>
      </c>
      <c r="F12" s="11">
        <f>IF(D12-E12&gt;0, D12-E12, 0)</f>
        <v/>
      </c>
      <c r="G12" s="12" t="inlineStr">
        <is>
          <t>Transfiere a Ignacio</t>
        </is>
      </c>
      <c r="H12" s="8" t="inlineStr">
        <is>
          <t>Pendiente</t>
        </is>
      </c>
    </row>
    <row r="13">
      <c r="A13" s="1" t="inlineStr">
        <is>
          <t>Myriam</t>
        </is>
      </c>
      <c r="B13" s="4">
        <f>ROUND(IF('Consumo por Integrante'!B13="Sí", Compras!B$13 / 'Consumo por Integrante'!B$18, 0) + IF('Consumo por Integrante'!C13="Sí", Compras!C$13 / 'Consumo por Integrante'!C$18, 0) + IF('Consumo por Integrante'!D13="Sí", Compras!D$13 / 'Consumo por Integrante'!D$18, 0) + IF('Consumo por Integrante'!E13="Sí", Compras!E$13 / 'Consumo por Integrante'!E$18, 0) + IF('Consumo por Integrante'!F13="Sí", Compras!F$13 / 'Consumo por Integrante'!F$18, 0) + IF('Consumo por Integrante'!G13="Sí", Compras!G$13 / 'Consumo por Integrante'!G$18, 0) + IF('Consumo por Integrante'!H13="Sí", Compras!H$13 / 'Consumo por Integrante'!H$18, 0) + IF('Consumo por Integrante'!I13="Sí", Compras!I$13 / 'Consumo por Integrante'!I$18, 0) + IF('Consumo por Integrante'!J13="Sí", Compras!J$13 / 'Consumo por Integrante'!J$18, 0) + IF('Consumo por Integrante'!K13="Sí", Compras!K$13 / 'Consumo por Integrante'!K$18, 0) + IF('Consumo por Integrante'!L13="Sí", Compras!L$13 / 'Consumo por Integrante'!L$18, 0) + IF('Consumo por Integrante'!M13="Sí", Compras!M$13 / 'Consumo por Integrante'!M$18, 0) + IF('Consumo por Integrante'!N13="Sí", Compras!N$13 / 'Consumo por Integrante'!N$18, 0) + IF('Consumo por Integrante'!O13="Sí", Compras!O$13 / 'Consumo por Integrante'!O$18, 0) + IF('Consumo por Integrante'!P13="Sí", Compras!P$13 / 'Consumo por Integrante'!P$18, 0) + IF('Consumo por Integrante'!Q13="Sí", Compras!Q$13 / 'Consumo por Integrante'!Q$18, 0) + IF('Consumo por Integrante'!R13="Sí", Compras!R$13 / 'Consumo por Integrante'!R$18, 0) + IF('Consumo por Integrante'!S13="Sí", Compras!S$13 / 'Consumo por Integrante'!S$18, 0) + IF('Consumo por Integrante'!T13="Sí", Compras!T$13 / 'Consumo por Integrante'!T$18, 0), 0)</f>
        <v/>
      </c>
      <c r="C13" s="4" t="n">
        <v>0</v>
      </c>
      <c r="D13" s="5">
        <f>B13+C13</f>
        <v/>
      </c>
      <c r="E13" s="4" t="n">
        <v>0</v>
      </c>
      <c r="F13" s="11">
        <f>IF(D13-E13&gt;0, D13-E13, 0)</f>
        <v/>
      </c>
      <c r="G13" s="12" t="inlineStr">
        <is>
          <t>Transfiere a Ignacio</t>
        </is>
      </c>
      <c r="H13" s="8" t="inlineStr">
        <is>
          <t>Pendiente</t>
        </is>
      </c>
    </row>
    <row r="14">
      <c r="A14" s="1" t="inlineStr">
        <is>
          <t>Abuelo Coni</t>
        </is>
      </c>
      <c r="B14" s="4">
        <f>ROUND(IF('Consumo por Integrante'!B14="Sí", Compras!B$13 / 'Consumo por Integrante'!B$18, 0) + IF('Consumo por Integrante'!C14="Sí", Compras!C$13 / 'Consumo por Integrante'!C$18, 0) + IF('Consumo por Integrante'!D14="Sí", Compras!D$13 / 'Consumo por Integrante'!D$18, 0) + IF('Consumo por Integrante'!E14="Sí", Compras!E$13 / 'Consumo por Integrante'!E$18, 0) + IF('Consumo por Integrante'!F14="Sí", Compras!F$13 / 'Consumo por Integrante'!F$18, 0) + IF('Consumo por Integrante'!G14="Sí", Compras!G$13 / 'Consumo por Integrante'!G$18, 0) + IF('Consumo por Integrante'!H14="Sí", Compras!H$13 / 'Consumo por Integrante'!H$18, 0) + IF('Consumo por Integrante'!I14="Sí", Compras!I$13 / 'Consumo por Integrante'!I$18, 0) + IF('Consumo por Integrante'!J14="Sí", Compras!J$13 / 'Consumo por Integrante'!J$18, 0) + IF('Consumo por Integrante'!K14="Sí", Compras!K$13 / 'Consumo por Integrante'!K$18, 0) + IF('Consumo por Integrante'!L14="Sí", Compras!L$13 / 'Consumo por Integrante'!L$18, 0) + IF('Consumo por Integrante'!M14="Sí", Compras!M$13 / 'Consumo por Integrante'!M$18, 0) + IF('Consumo por Integrante'!N14="Sí", Compras!N$13 / 'Consumo por Integrante'!N$18, 0) + IF('Consumo por Integrante'!O14="Sí", Compras!O$13 / 'Consumo por Integrante'!O$18, 0) + IF('Consumo por Integrante'!P14="Sí", Compras!P$13 / 'Consumo por Integrante'!P$18, 0) + IF('Consumo por Integrante'!Q14="Sí", Compras!Q$13 / 'Consumo por Integrante'!Q$18, 0) + IF('Consumo por Integrante'!R14="Sí", Compras!R$13 / 'Consumo por Integrante'!R$18, 0) + IF('Consumo por Integrante'!S14="Sí", Compras!S$13 / 'Consumo por Integrante'!S$18, 0) + IF('Consumo por Integrante'!T14="Sí", Compras!T$13 / 'Consumo por Integrante'!T$18, 0), 0)</f>
        <v/>
      </c>
      <c r="C14" s="4" t="n">
        <v>0</v>
      </c>
      <c r="D14" s="5">
        <f>B14+C14</f>
        <v/>
      </c>
      <c r="E14" s="4" t="n">
        <v>0</v>
      </c>
      <c r="F14" s="11">
        <f>IF(D14-E14&gt;0, D14-E14, 0)</f>
        <v/>
      </c>
      <c r="G14" s="12" t="inlineStr">
        <is>
          <t>Transfiere a Ignacio</t>
        </is>
      </c>
      <c r="H14" s="8" t="inlineStr">
        <is>
          <t>Pendiente</t>
        </is>
      </c>
    </row>
    <row r="15">
      <c r="A15" s="1" t="inlineStr">
        <is>
          <t>Mamá Mauri</t>
        </is>
      </c>
      <c r="B15" s="4">
        <f>ROUND(IF('Consumo por Integrante'!B15="Sí", Compras!B$13 / 'Consumo por Integrante'!B$18, 0) + IF('Consumo por Integrante'!C15="Sí", Compras!C$13 / 'Consumo por Integrante'!C$18, 0) + IF('Consumo por Integrante'!D15="Sí", Compras!D$13 / 'Consumo por Integrante'!D$18, 0) + IF('Consumo por Integrante'!E15="Sí", Compras!E$13 / 'Consumo por Integrante'!E$18, 0) + IF('Consumo por Integrante'!F15="Sí", Compras!F$13 / 'Consumo por Integrante'!F$18, 0) + IF('Consumo por Integrante'!G15="Sí", Compras!G$13 / 'Consumo por Integrante'!G$18, 0) + IF('Consumo por Integrante'!H15="Sí", Compras!H$13 / 'Consumo por Integrante'!H$18, 0) + IF('Consumo por Integrante'!I15="Sí", Compras!I$13 / 'Consumo por Integrante'!I$18, 0) + IF('Consumo por Integrante'!J15="Sí", Compras!J$13 / 'Consumo por Integrante'!J$18, 0) + IF('Consumo por Integrante'!K15="Sí", Compras!K$13 / 'Consumo por Integrante'!K$18, 0) + IF('Consumo por Integrante'!L15="Sí", Compras!L$13 / 'Consumo por Integrante'!L$18, 0) + IF('Consumo por Integrante'!M15="Sí", Compras!M$13 / 'Consumo por Integrante'!M$18, 0) + IF('Consumo por Integrante'!N15="Sí", Compras!N$13 / 'Consumo por Integrante'!N$18, 0) + IF('Consumo por Integrante'!O15="Sí", Compras!O$13 / 'Consumo por Integrante'!O$18, 0) + IF('Consumo por Integrante'!P15="Sí", Compras!P$13 / 'Consumo por Integrante'!P$18, 0) + IF('Consumo por Integrante'!Q15="Sí", Compras!Q$13 / 'Consumo por Integrante'!Q$18, 0) + IF('Consumo por Integrante'!R15="Sí", Compras!R$13 / 'Consumo por Integrante'!R$18, 0) + IF('Consumo por Integrante'!S15="Sí", Compras!S$13 / 'Consumo por Integrante'!S$18, 0) + IF('Consumo por Integrante'!T15="Sí", Compras!T$13 / 'Consumo por Integrante'!T$18, 0), 0)</f>
        <v/>
      </c>
      <c r="C15" s="4" t="n">
        <v>0</v>
      </c>
      <c r="D15" s="5">
        <f>B15+C15</f>
        <v/>
      </c>
      <c r="E15" s="4" t="n">
        <v>0</v>
      </c>
      <c r="F15" s="11">
        <f>IF(D15-E15&gt;0, D15-E15, 0)</f>
        <v/>
      </c>
      <c r="G15" s="12" t="inlineStr">
        <is>
          <t>Transfiere a Ignacio</t>
        </is>
      </c>
      <c r="H15" s="13" t="inlineStr">
        <is>
          <t>Pagado</t>
        </is>
      </c>
    </row>
    <row r="16">
      <c r="A16" s="1" t="inlineStr">
        <is>
          <t>Papá Mauri</t>
        </is>
      </c>
      <c r="B16" s="4">
        <f>ROUND(IF('Consumo por Integrante'!B16="Sí", Compras!B$13 / 'Consumo por Integrante'!B$18, 0) + IF('Consumo por Integrante'!C16="Sí", Compras!C$13 / 'Consumo por Integrante'!C$18, 0) + IF('Consumo por Integrante'!D16="Sí", Compras!D$13 / 'Consumo por Integrante'!D$18, 0) + IF('Consumo por Integrante'!E16="Sí", Compras!E$13 / 'Consumo por Integrante'!E$18, 0) + IF('Consumo por Integrante'!F16="Sí", Compras!F$13 / 'Consumo por Integrante'!F$18, 0) + IF('Consumo por Integrante'!G16="Sí", Compras!G$13 / 'Consumo por Integrante'!G$18, 0) + IF('Consumo por Integrante'!H16="Sí", Compras!H$13 / 'Consumo por Integrante'!H$18, 0) + IF('Consumo por Integrante'!I16="Sí", Compras!I$13 / 'Consumo por Integrante'!I$18, 0) + IF('Consumo por Integrante'!J16="Sí", Compras!J$13 / 'Consumo por Integrante'!J$18, 0) + IF('Consumo por Integrante'!K16="Sí", Compras!K$13 / 'Consumo por Integrante'!K$18, 0) + IF('Consumo por Integrante'!L16="Sí", Compras!L$13 / 'Consumo por Integrante'!L$18, 0) + IF('Consumo por Integrante'!M16="Sí", Compras!M$13 / 'Consumo por Integrante'!M$18, 0) + IF('Consumo por Integrante'!N16="Sí", Compras!N$13 / 'Consumo por Integrante'!N$18, 0) + IF('Consumo por Integrante'!O16="Sí", Compras!O$13 / 'Consumo por Integrante'!O$18, 0) + IF('Consumo por Integrante'!P16="Sí", Compras!P$13 / 'Consumo por Integrante'!P$18, 0) + IF('Consumo por Integrante'!Q16="Sí", Compras!Q$13 / 'Consumo por Integrante'!Q$18, 0) + IF('Consumo por Integrante'!R16="Sí", Compras!R$13 / 'Consumo por Integrante'!R$18, 0) + IF('Consumo por Integrante'!S16="Sí", Compras!S$13 / 'Consumo por Integrante'!S$18, 0) + IF('Consumo por Integrante'!T16="Sí", Compras!T$13 / 'Consumo por Integrante'!T$18, 0), 0)</f>
        <v/>
      </c>
      <c r="C16" s="4" t="n">
        <v>0</v>
      </c>
      <c r="D16" s="5">
        <f>B16+C16</f>
        <v/>
      </c>
      <c r="E16" s="4" t="n">
        <v>0</v>
      </c>
      <c r="F16" s="11">
        <f>IF(D16-E16&gt;0, D16-E16, 0)</f>
        <v/>
      </c>
      <c r="G16" s="12" t="inlineStr">
        <is>
          <t>Transfiere a Ignacio</t>
        </is>
      </c>
      <c r="H16" s="13" t="inlineStr">
        <is>
          <t>Pagado</t>
        </is>
      </c>
    </row>
    <row r="17">
      <c r="A17" s="1" t="inlineStr">
        <is>
          <t>Franklin</t>
        </is>
      </c>
      <c r="B17" s="4">
        <f>ROUND(IF('Consumo por Integrante'!B17="Sí", Compras!B$13 / 'Consumo por Integrante'!B$18, 0) + IF('Consumo por Integrante'!C17="Sí", Compras!C$13 / 'Consumo por Integrante'!C$18, 0) + IF('Consumo por Integrante'!D17="Sí", Compras!D$13 / 'Consumo por Integrante'!D$18, 0) + IF('Consumo por Integrante'!E17="Sí", Compras!E$13 / 'Consumo por Integrante'!E$18, 0) + IF('Consumo por Integrante'!F17="Sí", Compras!F$13 / 'Consumo por Integrante'!F$18, 0) + IF('Consumo por Integrante'!G17="Sí", Compras!G$13 / 'Consumo por Integrante'!G$18, 0) + IF('Consumo por Integrante'!H17="Sí", Compras!H$13 / 'Consumo por Integrante'!H$18, 0) + IF('Consumo por Integrante'!I17="Sí", Compras!I$13 / 'Consumo por Integrante'!I$18, 0) + IF('Consumo por Integrante'!J17="Sí", Compras!J$13 / 'Consumo por Integrante'!J$18, 0) + IF('Consumo por Integrante'!K17="Sí", Compras!K$13 / 'Consumo por Integrante'!K$18, 0) + IF('Consumo por Integrante'!L17="Sí", Compras!L$13 / 'Consumo por Integrante'!L$18, 0) + IF('Consumo por Integrante'!M17="Sí", Compras!M$13 / 'Consumo por Integrante'!M$18, 0) + IF('Consumo por Integrante'!N17="Sí", Compras!N$13 / 'Consumo por Integrante'!N$18, 0) + IF('Consumo por Integrante'!O17="Sí", Compras!O$13 / 'Consumo por Integrante'!O$18, 0) + IF('Consumo por Integrante'!P17="Sí", Compras!P$13 / 'Consumo por Integrante'!P$18, 0) + IF('Consumo por Integrante'!Q17="Sí", Compras!Q$13 / 'Consumo por Integrante'!Q$18, 0) + IF('Consumo por Integrante'!R17="Sí", Compras!R$13 / 'Consumo por Integrante'!R$18, 0) + IF('Consumo por Integrante'!S17="Sí", Compras!S$13 / 'Consumo por Integrante'!S$18, 0) + IF('Consumo por Integrante'!T17="Sí", Compras!T$13 / 'Consumo por Integrante'!T$18, 0), 0)</f>
        <v/>
      </c>
      <c r="C17" s="4" t="n">
        <v>0</v>
      </c>
      <c r="D17" s="5">
        <f>B17+C17</f>
        <v/>
      </c>
      <c r="E17" s="4" t="n">
        <v>0</v>
      </c>
      <c r="F17" s="11">
        <f>IF(D17-E17&gt;0, D17-E17, 0)</f>
        <v/>
      </c>
      <c r="G17" s="12" t="inlineStr">
        <is>
          <t>Transfiere a Ignacio</t>
        </is>
      </c>
      <c r="H17" s="13" t="inlineStr">
        <is>
          <t>Pagado</t>
        </is>
      </c>
    </row>
    <row r="18">
      <c r="A18" s="1" t="inlineStr">
        <is>
          <t>Totales</t>
        </is>
      </c>
      <c r="B18" s="6">
        <f>SUM(B2:B17)</f>
        <v/>
      </c>
      <c r="C18" s="6">
        <f>SUM(C2:C17)</f>
        <v/>
      </c>
      <c r="D18" s="6">
        <f>SUM(D2:D17)</f>
        <v/>
      </c>
      <c r="E18" s="6">
        <f>SUM(E2:E17)</f>
        <v/>
      </c>
      <c r="F18" s="17">
        <f>SUMIF(G2:G17, "Transfiere a Ignacio", F2:F17)</f>
        <v/>
      </c>
      <c r="G18" s="1" t="inlineStr">
        <is>
          <t>Total Recaudado por Ignacio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2026-09-22T17:11:31Z</dcterms:created>
  <dcterms:modified xsi:type="dcterms:W3CDTF">2026-09-22T17:11:31Z</dcterms:modified>
</cp:coreProperties>
</file>